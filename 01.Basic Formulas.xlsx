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Data Science\2.Excel\"/>
    </mc:Choice>
  </mc:AlternateContent>
  <xr:revisionPtr revIDLastSave="0" documentId="8_{91C60DD0-7D74-4E92-9608-9026AB80A6E8}" xr6:coauthVersionLast="47" xr6:coauthVersionMax="47" xr10:uidLastSave="{00000000-0000-0000-0000-000000000000}"/>
  <bookViews>
    <workbookView xWindow="-108" yWindow="-108" windowWidth="23256" windowHeight="12456" activeTab="1" xr2:uid="{5330D8FD-06D4-4B36-9FA2-5302D6A217B1}"/>
  </bookViews>
  <sheets>
    <sheet name="Student Weight" sheetId="1" r:id="rId1"/>
    <sheet name="Items Price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G8" i="2" s="1"/>
  <c r="E7" i="2"/>
  <c r="G7" i="2" s="1"/>
  <c r="E6" i="2"/>
  <c r="G6" i="2" s="1"/>
  <c r="E5" i="2"/>
  <c r="G5" i="2" s="1"/>
  <c r="E4" i="2"/>
  <c r="G4" i="2" s="1"/>
  <c r="G29" i="1"/>
  <c r="G25" i="1"/>
  <c r="G16" i="1"/>
  <c r="G20" i="1"/>
  <c r="G9" i="2" l="1"/>
  <c r="G10" i="2" l="1"/>
  <c r="G11" i="2" s="1"/>
  <c r="G12" i="2" s="1"/>
</calcChain>
</file>

<file path=xl/sharedStrings.xml><?xml version="1.0" encoding="utf-8"?>
<sst xmlns="http://schemas.openxmlformats.org/spreadsheetml/2006/main" count="32" uniqueCount="32">
  <si>
    <t xml:space="preserve">Greg      </t>
  </si>
  <si>
    <t xml:space="preserve">Gary      </t>
  </si>
  <si>
    <t xml:space="preserve">Denver    </t>
  </si>
  <si>
    <t xml:space="preserve">Jason     </t>
  </si>
  <si>
    <t xml:space="preserve">Cliffard  </t>
  </si>
  <si>
    <t xml:space="preserve">Gavin     </t>
  </si>
  <si>
    <t xml:space="preserve">Richard   </t>
  </si>
  <si>
    <t>Student Name</t>
  </si>
  <si>
    <t>Weight</t>
  </si>
  <si>
    <t>Using Formula's Find:</t>
  </si>
  <si>
    <t>1) The sum of Gavin's &amp; Jason's weight</t>
  </si>
  <si>
    <t>2) The difference between Cliffard's &amp; Gary's weight</t>
  </si>
  <si>
    <t>3) The sum total of all the students weights</t>
  </si>
  <si>
    <t xml:space="preserve">4) The average of Greg's, Richards &amp; Denvers weight
</t>
  </si>
  <si>
    <t>Item Spreadsheet</t>
  </si>
  <si>
    <t>Sl No.</t>
  </si>
  <si>
    <t>Name of Item</t>
  </si>
  <si>
    <t>Cost of Each Item</t>
  </si>
  <si>
    <t>Shipping</t>
  </si>
  <si>
    <t>Price (Cost + Shipping)</t>
  </si>
  <si>
    <t>Quantity</t>
  </si>
  <si>
    <t>Total</t>
  </si>
  <si>
    <t>Canon Powershot A560</t>
  </si>
  <si>
    <t>Nokia 6288</t>
  </si>
  <si>
    <t>PS3</t>
  </si>
  <si>
    <t>Compaq Presario C714NR</t>
  </si>
  <si>
    <t>Apple Ipod Nano</t>
  </si>
  <si>
    <t>Subtotal</t>
  </si>
  <si>
    <t>Tax @ 4.5%</t>
  </si>
  <si>
    <t>Grand Total</t>
  </si>
  <si>
    <t>Money Left over</t>
  </si>
  <si>
    <t>Total Amount = 160000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</si>
</sst>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4" borderId="0" xfId="0" applyFont="1" applyFill="1"/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6" fillId="0" borderId="1" xfId="0" applyFont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C5F6-059C-4510-A204-51682373A394}">
  <dimension ref="A4:G39"/>
  <sheetViews>
    <sheetView topLeftCell="A4" zoomScale="121" workbookViewId="0">
      <selection activeCell="G10" sqref="G10"/>
    </sheetView>
  </sheetViews>
  <sheetFormatPr defaultRowHeight="14.4" x14ac:dyDescent="0.3"/>
  <cols>
    <col min="1" max="1" width="12.5546875" style="2" bestFit="1" customWidth="1"/>
    <col min="2" max="2" width="6.77734375" style="2" bestFit="1" customWidth="1"/>
    <col min="3" max="16384" width="8.88671875" style="2"/>
  </cols>
  <sheetData>
    <row r="4" spans="1:7" x14ac:dyDescent="0.3">
      <c r="A4" s="1" t="s">
        <v>7</v>
      </c>
      <c r="B4" s="1" t="s">
        <v>8</v>
      </c>
    </row>
    <row r="5" spans="1:7" x14ac:dyDescent="0.3">
      <c r="A5" s="3" t="s">
        <v>6</v>
      </c>
      <c r="B5" s="3">
        <v>57</v>
      </c>
    </row>
    <row r="6" spans="1:7" x14ac:dyDescent="0.3">
      <c r="A6" s="3" t="s">
        <v>5</v>
      </c>
      <c r="B6" s="3">
        <v>64</v>
      </c>
    </row>
    <row r="7" spans="1:7" x14ac:dyDescent="0.3">
      <c r="A7" s="3" t="s">
        <v>4</v>
      </c>
      <c r="B7" s="3">
        <v>82</v>
      </c>
    </row>
    <row r="8" spans="1:7" x14ac:dyDescent="0.3">
      <c r="A8" s="3" t="s">
        <v>3</v>
      </c>
      <c r="B8" s="3">
        <v>45</v>
      </c>
    </row>
    <row r="9" spans="1:7" x14ac:dyDescent="0.3">
      <c r="A9" s="3" t="s">
        <v>2</v>
      </c>
      <c r="B9" s="3">
        <v>65</v>
      </c>
    </row>
    <row r="10" spans="1:7" x14ac:dyDescent="0.3">
      <c r="A10" s="3" t="s">
        <v>1</v>
      </c>
      <c r="B10" s="3">
        <v>85</v>
      </c>
    </row>
    <row r="11" spans="1:7" x14ac:dyDescent="0.3">
      <c r="A11" s="3" t="s">
        <v>0</v>
      </c>
      <c r="B11" s="3">
        <v>74</v>
      </c>
    </row>
    <row r="14" spans="1:7" ht="15.6" x14ac:dyDescent="0.3">
      <c r="A14" s="6" t="s">
        <v>9</v>
      </c>
      <c r="B14" s="6"/>
      <c r="C14" s="6"/>
    </row>
    <row r="16" spans="1:7" x14ac:dyDescent="0.3">
      <c r="A16" s="2" t="s">
        <v>10</v>
      </c>
      <c r="G16" s="4">
        <f>SUM(B6,B8)</f>
        <v>109</v>
      </c>
    </row>
    <row r="20" spans="1:7" x14ac:dyDescent="0.3">
      <c r="A20" s="2" t="s">
        <v>11</v>
      </c>
      <c r="G20" s="4">
        <f>B7-B10</f>
        <v>-3</v>
      </c>
    </row>
    <row r="25" spans="1:7" x14ac:dyDescent="0.3">
      <c r="A25" s="2" t="s">
        <v>12</v>
      </c>
      <c r="G25" s="4">
        <f>SUM(B5:B11)</f>
        <v>472</v>
      </c>
    </row>
    <row r="29" spans="1:7" ht="14.4" customHeight="1" x14ac:dyDescent="0.3">
      <c r="A29" s="5" t="s">
        <v>13</v>
      </c>
      <c r="B29" s="5"/>
      <c r="C29" s="5"/>
      <c r="D29" s="5"/>
      <c r="E29" s="5"/>
      <c r="G29" s="4">
        <f>AVERAGE(B5,B11,B9)</f>
        <v>65.333333333333329</v>
      </c>
    </row>
    <row r="39" ht="15" customHeight="1" x14ac:dyDescent="0.3"/>
  </sheetData>
  <mergeCells count="2">
    <mergeCell ref="A29:E29"/>
    <mergeCell ref="A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BFB1-FFC1-4AF4-955E-F9EBF747F32F}">
  <dimension ref="A1:G15"/>
  <sheetViews>
    <sheetView tabSelected="1" workbookViewId="0">
      <selection activeCell="E21" sqref="E21"/>
    </sheetView>
  </sheetViews>
  <sheetFormatPr defaultColWidth="8.6640625" defaultRowHeight="14.4" x14ac:dyDescent="0.3"/>
  <cols>
    <col min="1" max="1" width="6" bestFit="1" customWidth="1"/>
    <col min="2" max="2" width="22.21875" bestFit="1" customWidth="1"/>
    <col min="3" max="3" width="16.77734375" bestFit="1" customWidth="1"/>
    <col min="4" max="4" width="9.21875" bestFit="1" customWidth="1"/>
    <col min="5" max="5" width="12.5546875" bestFit="1" customWidth="1"/>
    <col min="6" max="6" width="16.109375" bestFit="1" customWidth="1"/>
    <col min="7" max="7" width="16.88671875" customWidth="1"/>
  </cols>
  <sheetData>
    <row r="1" spans="1:7" ht="17.399999999999999" x14ac:dyDescent="0.3">
      <c r="A1" s="7" t="s">
        <v>14</v>
      </c>
      <c r="B1" s="7"/>
      <c r="C1" s="7"/>
      <c r="D1" s="7"/>
      <c r="E1" s="7"/>
      <c r="F1" s="7"/>
      <c r="G1" s="7"/>
    </row>
    <row r="3" spans="1:7" ht="28.2" x14ac:dyDescent="0.3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</row>
    <row r="4" spans="1:7" x14ac:dyDescent="0.3">
      <c r="A4" s="9">
        <v>1</v>
      </c>
      <c r="B4" s="9" t="s">
        <v>22</v>
      </c>
      <c r="C4" s="10">
        <v>6649</v>
      </c>
      <c r="D4" s="10">
        <v>600</v>
      </c>
      <c r="E4" s="10">
        <f>D4+C4</f>
        <v>7249</v>
      </c>
      <c r="F4" s="9">
        <v>3</v>
      </c>
      <c r="G4" s="10">
        <f>E4*F4</f>
        <v>21747</v>
      </c>
    </row>
    <row r="5" spans="1:7" x14ac:dyDescent="0.3">
      <c r="A5" s="9">
        <v>2</v>
      </c>
      <c r="B5" s="9" t="s">
        <v>23</v>
      </c>
      <c r="C5" s="10">
        <v>9999</v>
      </c>
      <c r="D5" s="10">
        <v>350</v>
      </c>
      <c r="E5" s="10">
        <f t="shared" ref="E5:E8" si="0">D5+C5</f>
        <v>10349</v>
      </c>
      <c r="F5" s="9">
        <v>4</v>
      </c>
      <c r="G5" s="10">
        <f>E5*F5</f>
        <v>41396</v>
      </c>
    </row>
    <row r="6" spans="1:7" x14ac:dyDescent="0.3">
      <c r="A6" s="9">
        <v>3</v>
      </c>
      <c r="B6" s="9" t="s">
        <v>24</v>
      </c>
      <c r="C6" s="10">
        <v>25499</v>
      </c>
      <c r="D6" s="10">
        <v>1150</v>
      </c>
      <c r="E6" s="10">
        <f t="shared" si="0"/>
        <v>26649</v>
      </c>
      <c r="F6" s="9">
        <v>1</v>
      </c>
      <c r="G6" s="10">
        <f>E6*F6</f>
        <v>26649</v>
      </c>
    </row>
    <row r="7" spans="1:7" x14ac:dyDescent="0.3">
      <c r="A7" s="9">
        <v>4</v>
      </c>
      <c r="B7" s="9" t="s">
        <v>25</v>
      </c>
      <c r="C7" s="10">
        <v>29999</v>
      </c>
      <c r="D7" s="10">
        <v>1500</v>
      </c>
      <c r="E7" s="10">
        <f t="shared" si="0"/>
        <v>31499</v>
      </c>
      <c r="F7" s="9">
        <v>1</v>
      </c>
      <c r="G7" s="10">
        <f>E7*F7</f>
        <v>31499</v>
      </c>
    </row>
    <row r="8" spans="1:7" x14ac:dyDescent="0.3">
      <c r="A8" s="9">
        <v>5</v>
      </c>
      <c r="B8" s="9" t="s">
        <v>26</v>
      </c>
      <c r="C8" s="10">
        <v>5899</v>
      </c>
      <c r="D8" s="10">
        <v>450</v>
      </c>
      <c r="E8" s="10">
        <f t="shared" si="0"/>
        <v>6349</v>
      </c>
      <c r="F8" s="9">
        <v>5</v>
      </c>
      <c r="G8" s="10">
        <f>F8*E8</f>
        <v>31745</v>
      </c>
    </row>
    <row r="9" spans="1:7" x14ac:dyDescent="0.3">
      <c r="A9" s="9"/>
      <c r="B9" s="9"/>
      <c r="C9" s="9"/>
      <c r="D9" s="9"/>
      <c r="E9" s="9"/>
      <c r="F9" s="11" t="s">
        <v>27</v>
      </c>
      <c r="G9" s="10">
        <f>SUM(G4:G8)</f>
        <v>153036</v>
      </c>
    </row>
    <row r="10" spans="1:7" x14ac:dyDescent="0.3">
      <c r="A10" s="9"/>
      <c r="B10" s="9"/>
      <c r="C10" s="9"/>
      <c r="D10" s="9"/>
      <c r="E10" s="9"/>
      <c r="F10" s="11" t="s">
        <v>28</v>
      </c>
      <c r="G10" s="10">
        <f>G9*0.045</f>
        <v>6886.62</v>
      </c>
    </row>
    <row r="11" spans="1:7" x14ac:dyDescent="0.3">
      <c r="A11" s="9"/>
      <c r="B11" s="9"/>
      <c r="C11" s="9"/>
      <c r="D11" s="9"/>
      <c r="E11" s="9"/>
      <c r="F11" s="11" t="s">
        <v>29</v>
      </c>
      <c r="G11" s="10">
        <f>G9+G10</f>
        <v>159922.62</v>
      </c>
    </row>
    <row r="12" spans="1:7" x14ac:dyDescent="0.3">
      <c r="A12" s="9"/>
      <c r="B12" s="9"/>
      <c r="C12" s="9"/>
      <c r="D12" s="9"/>
      <c r="E12" s="9"/>
      <c r="F12" s="11" t="s">
        <v>30</v>
      </c>
      <c r="G12" s="10">
        <f>160000-G11</f>
        <v>77.380000000004657</v>
      </c>
    </row>
    <row r="15" spans="1:7" x14ac:dyDescent="0.3">
      <c r="C15" s="12" t="s">
        <v>31</v>
      </c>
      <c r="D15" s="13"/>
    </row>
  </sheetData>
  <mergeCells count="2">
    <mergeCell ref="A1:G1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Weight</vt:lpstr>
      <vt:lpstr>Items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2026-02-08T17:30:50Z</dcterms:created>
  <dcterms:modified xsi:type="dcterms:W3CDTF">2026-03-07T17:58:10Z</dcterms:modified>
</cp:coreProperties>
</file>