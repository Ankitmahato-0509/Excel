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\Data Science\Data Science\2.Excel\"/>
    </mc:Choice>
  </mc:AlternateContent>
  <xr:revisionPtr revIDLastSave="0" documentId="13_ncr:1_{DF24FB91-E3B1-4945-A9B9-6FC405945C77}" xr6:coauthVersionLast="47" xr6:coauthVersionMax="47" xr10:uidLastSave="{00000000-0000-0000-0000-000000000000}"/>
  <bookViews>
    <workbookView xWindow="-108" yWindow="-108" windowWidth="23256" windowHeight="12456" xr2:uid="{282AF0ED-5861-4A59-9328-C2A2AD184052}"/>
  </bookViews>
  <sheets>
    <sheet name="Exercise 1" sheetId="1" r:id="rId1"/>
    <sheet name="Exercise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2" l="1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E24" i="2"/>
  <c r="D24" i="2"/>
  <c r="C24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D15" i="1"/>
  <c r="D16" i="1"/>
  <c r="D17" i="1"/>
  <c r="D18" i="1"/>
  <c r="D19" i="1"/>
  <c r="D20" i="1"/>
  <c r="D21" i="1"/>
  <c r="C15" i="1"/>
  <c r="C16" i="1"/>
  <c r="C17" i="1"/>
  <c r="C18" i="1"/>
  <c r="C19" i="1"/>
  <c r="C20" i="1"/>
  <c r="C21" i="1"/>
  <c r="B15" i="1"/>
  <c r="B16" i="1"/>
  <c r="B17" i="1"/>
  <c r="B18" i="1"/>
  <c r="B19" i="1"/>
  <c r="B20" i="1"/>
  <c r="B21" i="1"/>
  <c r="D14" i="1"/>
  <c r="C14" i="1"/>
  <c r="B14" i="1"/>
  <c r="G3" i="1"/>
  <c r="G2" i="1"/>
</calcChain>
</file>

<file path=xl/sharedStrings.xml><?xml version="1.0" encoding="utf-8"?>
<sst xmlns="http://schemas.openxmlformats.org/spreadsheetml/2006/main" count="102" uniqueCount="67">
  <si>
    <t>EmpNo</t>
  </si>
  <si>
    <t>Name</t>
  </si>
  <si>
    <t>Address</t>
  </si>
  <si>
    <t>Phone</t>
  </si>
  <si>
    <t>E001</t>
  </si>
  <si>
    <t>Anand</t>
  </si>
  <si>
    <t>Domlur</t>
  </si>
  <si>
    <t>E002</t>
  </si>
  <si>
    <t>Kiran</t>
  </si>
  <si>
    <t>Jayanagar</t>
  </si>
  <si>
    <t>E003</t>
  </si>
  <si>
    <t>Amit</t>
  </si>
  <si>
    <t>Richmond</t>
  </si>
  <si>
    <t>E004</t>
  </si>
  <si>
    <t>Hema</t>
  </si>
  <si>
    <t>Indiranagar</t>
  </si>
  <si>
    <t>E005</t>
  </si>
  <si>
    <t>Deepa</t>
  </si>
  <si>
    <t>HAL</t>
  </si>
  <si>
    <t>E006</t>
  </si>
  <si>
    <t>Raj</t>
  </si>
  <si>
    <t>RT Nagar</t>
  </si>
  <si>
    <t>E007</t>
  </si>
  <si>
    <t>Harish</t>
  </si>
  <si>
    <t>E008</t>
  </si>
  <si>
    <t>INDEX</t>
  </si>
  <si>
    <t>MATCH</t>
  </si>
  <si>
    <t xml:space="preserve">Using Index + Match </t>
  </si>
  <si>
    <t>Emp. ID.</t>
  </si>
  <si>
    <t>Department</t>
  </si>
  <si>
    <t>Ext. No.</t>
  </si>
  <si>
    <t>Email</t>
  </si>
  <si>
    <t>Rupali Shenoy</t>
  </si>
  <si>
    <t>Trade &amp; Risk Management</t>
  </si>
  <si>
    <t>rupali.shenoy@reuters.com</t>
  </si>
  <si>
    <t>Ashish Bhattacharya</t>
  </si>
  <si>
    <t>ashish.bhattacharya@reuters.com</t>
  </si>
  <si>
    <t>Shweta Jaju</t>
  </si>
  <si>
    <t>shweta.jaju@reuters.com</t>
  </si>
  <si>
    <t>Vinod Kale</t>
  </si>
  <si>
    <t>vinod.kale@reuters.com</t>
  </si>
  <si>
    <t>Jasbir Singh</t>
  </si>
  <si>
    <t>Client Training</t>
  </si>
  <si>
    <t>jasbir.singh@reuters.com</t>
  </si>
  <si>
    <t>Ina Dsouza</t>
  </si>
  <si>
    <t>ina.dsouza@reuters.com</t>
  </si>
  <si>
    <t>Mrinal Sawarkar</t>
  </si>
  <si>
    <t>mrinal.sawarkar@reuters.com</t>
  </si>
  <si>
    <t>Abhishek Mishra</t>
  </si>
  <si>
    <t>abhishek.mishra@reuters.com</t>
  </si>
  <si>
    <t>Sweta Vaishnav</t>
  </si>
  <si>
    <t>sweta.vaishnav@reuters.com</t>
  </si>
  <si>
    <t>Deepali Khot</t>
  </si>
  <si>
    <t>Business Direct</t>
  </si>
  <si>
    <t>deepali.khot@reuters.com</t>
  </si>
  <si>
    <t>Rashmi Dabholkar</t>
  </si>
  <si>
    <t>rashmi.dabholkar@reuters.com</t>
  </si>
  <si>
    <t>Payal Mittal</t>
  </si>
  <si>
    <t>payal.mittal@reuters.com</t>
  </si>
  <si>
    <t>Jacinta D'Souza</t>
  </si>
  <si>
    <t>jacinta.dsouza@reuters.com</t>
  </si>
  <si>
    <t>Teresa Quadras</t>
  </si>
  <si>
    <t>teresa.quadras@reuters.com</t>
  </si>
  <si>
    <t>Griselia Martins</t>
  </si>
  <si>
    <t>griselia.martins@reuters.com</t>
  </si>
  <si>
    <t>Vivek Oak</t>
  </si>
  <si>
    <t>vivek.oak@reuters.com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</si>
</sst>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5" borderId="1" xfId="0" applyFill="1" applyBorder="1"/>
    <xf numFmtId="0" fontId="1" fillId="3" borderId="1" xfId="0" applyFont="1" applyFill="1" applyBorder="1"/>
    <xf numFmtId="0" fontId="1" fillId="9" borderId="1" xfId="0" applyFont="1" applyFill="1" applyBorder="1"/>
    <xf numFmtId="0" fontId="0" fillId="10" borderId="1" xfId="0" applyFill="1" applyBorder="1"/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292853</xdr:colOff>
      <xdr:row>3</xdr:row>
      <xdr:rowOff>74412</xdr:rowOff>
    </xdr:from>
    <xdr:to>
      <xdr:col>11</xdr:col>
      <xdr:colOff>561435</xdr:colOff>
      <xdr:row>10</xdr:row>
      <xdr:rowOff>165853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A84FDE-2482-CA27-41FA-7B5C77AB2E64}"/>
            </a:ext>
          </a:extLst>
        </xdr:cNvPr>
        <xdr:cNvSpPr txBox="1"/>
      </xdr:nvSpPr>
      <xdr:spPr>
        <a:xfrm>
          <a:off x="3190334" y="610634"/>
          <a:ext cx="3937471" cy="134262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rgbClr val="FF0000"/>
              </a:solidFill>
            </a:rPr>
            <a:t>Index</a:t>
          </a:r>
          <a:r>
            <a:rPr lang="en-IN" sz="1100" b="1" baseline="0">
              <a:solidFill>
                <a:srgbClr val="FF0000"/>
              </a:solidFill>
            </a:rPr>
            <a:t> Function : </a:t>
          </a:r>
          <a:r>
            <a:rPr lang="en-IN" sz="1100" b="1" baseline="0"/>
            <a:t>Index Function returns a value or the reference to a value from within a table or range.</a:t>
          </a:r>
        </a:p>
        <a:p>
          <a:endParaRPr lang="en-IN" sz="1100" b="1" baseline="0"/>
        </a:p>
        <a:p>
          <a:r>
            <a:rPr lang="en-IN" sz="1100" b="1" baseline="0">
              <a:solidFill>
                <a:srgbClr val="FF0000"/>
              </a:solidFill>
            </a:rPr>
            <a:t>Match Function : </a:t>
          </a:r>
          <a:r>
            <a:rPr lang="en-IN" sz="1100" b="1" baseline="0">
              <a:solidFill>
                <a:schemeClr val="tx1"/>
              </a:solidFill>
            </a:rPr>
            <a:t>searches for a specified item in a range of cells, and then returns </a:t>
          </a:r>
          <a:r>
            <a:rPr lang="en-IN" b="1"/>
            <a:t>find the position of a specific value within a range of cells</a:t>
          </a:r>
          <a:r>
            <a:rPr lang="en-IN"/>
            <a:t>.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B97B-64BE-4629-B1AB-237C302110B6}">
  <dimension ref="A1:G21"/>
  <sheetViews>
    <sheetView tabSelected="1" zoomScale="105" zoomScaleNormal="145" workbookViewId="0">
      <selection activeCell="G17" sqref="G17"/>
    </sheetView>
  </sheetViews>
  <sheetFormatPr defaultRowHeight="14.4" x14ac:dyDescent="0.3"/>
  <cols>
    <col min="1" max="1" width="7" bestFit="1" customWidth="1"/>
    <col min="2" max="2" width="8.109375" bestFit="1" customWidth="1"/>
    <col min="3" max="3" width="10.21875" bestFit="1" customWidth="1"/>
    <col min="4" max="4" width="17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">
      <c r="A2" s="2" t="s">
        <v>4</v>
      </c>
      <c r="B2" s="2" t="s">
        <v>5</v>
      </c>
      <c r="C2" s="2" t="s">
        <v>6</v>
      </c>
      <c r="D2" s="2">
        <v>5446578</v>
      </c>
      <c r="F2" s="7" t="s">
        <v>25</v>
      </c>
      <c r="G2" s="9" t="str">
        <f>INDEX(A2:D9,2,3)</f>
        <v>Jayanagar</v>
      </c>
    </row>
    <row r="3" spans="1:7" x14ac:dyDescent="0.3">
      <c r="A3" s="2" t="s">
        <v>7</v>
      </c>
      <c r="B3" s="2" t="s">
        <v>8</v>
      </c>
      <c r="C3" s="2" t="s">
        <v>9</v>
      </c>
      <c r="D3" s="2">
        <v>6634554</v>
      </c>
      <c r="F3" s="8" t="s">
        <v>26</v>
      </c>
      <c r="G3" s="9">
        <f>MATCH(B6,B2:B9,0)</f>
        <v>5</v>
      </c>
    </row>
    <row r="4" spans="1:7" x14ac:dyDescent="0.3">
      <c r="A4" s="2" t="s">
        <v>10</v>
      </c>
      <c r="B4" s="2" t="s">
        <v>11</v>
      </c>
      <c r="C4" s="2" t="s">
        <v>12</v>
      </c>
      <c r="D4" s="2">
        <v>2234567</v>
      </c>
    </row>
    <row r="5" spans="1:7" x14ac:dyDescent="0.3">
      <c r="A5" s="2" t="s">
        <v>13</v>
      </c>
      <c r="B5" s="2" t="s">
        <v>14</v>
      </c>
      <c r="C5" s="2" t="s">
        <v>15</v>
      </c>
      <c r="D5" s="2">
        <v>3365124</v>
      </c>
    </row>
    <row r="6" spans="1:7" x14ac:dyDescent="0.3">
      <c r="A6" s="2" t="s">
        <v>16</v>
      </c>
      <c r="B6" s="2" t="s">
        <v>17</v>
      </c>
      <c r="C6" s="2" t="s">
        <v>18</v>
      </c>
      <c r="D6" s="2">
        <v>5561243</v>
      </c>
    </row>
    <row r="7" spans="1:7" x14ac:dyDescent="0.3">
      <c r="A7" s="2" t="s">
        <v>19</v>
      </c>
      <c r="B7" s="2" t="s">
        <v>20</v>
      </c>
      <c r="C7" s="2" t="s">
        <v>21</v>
      </c>
      <c r="D7" s="2">
        <v>5692039</v>
      </c>
    </row>
    <row r="8" spans="1:7" x14ac:dyDescent="0.3">
      <c r="A8" s="2" t="s">
        <v>22</v>
      </c>
      <c r="B8" s="2" t="s">
        <v>23</v>
      </c>
      <c r="C8" s="2" t="s">
        <v>6</v>
      </c>
      <c r="D8" s="2">
        <v>4559300</v>
      </c>
    </row>
    <row r="9" spans="1:7" x14ac:dyDescent="0.3">
      <c r="A9" s="2" t="s">
        <v>24</v>
      </c>
      <c r="B9" s="2" t="s">
        <v>8</v>
      </c>
      <c r="C9" s="2" t="s">
        <v>15</v>
      </c>
      <c r="D9" s="2">
        <v>4954959</v>
      </c>
    </row>
    <row r="11" spans="1:7" x14ac:dyDescent="0.3">
      <c r="A11" s="10" t="s">
        <v>27</v>
      </c>
      <c r="B11" s="11"/>
      <c r="C11" s="11"/>
      <c r="D11" s="11"/>
      <c r="E11" s="11"/>
    </row>
    <row r="13" spans="1:7" x14ac:dyDescent="0.3">
      <c r="A13" s="1" t="s">
        <v>0</v>
      </c>
      <c r="B13" s="1" t="s">
        <v>1</v>
      </c>
      <c r="C13" s="1" t="s">
        <v>2</v>
      </c>
      <c r="D13" s="1" t="s">
        <v>3</v>
      </c>
    </row>
    <row r="14" spans="1:7" x14ac:dyDescent="0.3">
      <c r="A14" s="2" t="s">
        <v>16</v>
      </c>
      <c r="B14" s="3" t="str">
        <f>INDEX($A$2:$D$9,MATCH(A14,$A$2:$A$9,0),2)</f>
        <v>Deepa</v>
      </c>
      <c r="C14" s="3" t="str">
        <f>INDEX($A$2:$D$9,MATCH(A14,$A$2:$A$9,0),3)</f>
        <v>HAL</v>
      </c>
      <c r="D14" s="3">
        <f>INDEX($A$2:$D$9,MATCH(A14,$A$2:$A$9,0),4)</f>
        <v>5561243</v>
      </c>
    </row>
    <row r="15" spans="1:7" x14ac:dyDescent="0.3">
      <c r="A15" s="2" t="s">
        <v>24</v>
      </c>
      <c r="B15" s="3" t="str">
        <f t="shared" ref="B15:B21" si="0">INDEX($A$2:$D$9,MATCH(A15,$A$2:$A$9,0),2)</f>
        <v>Kiran</v>
      </c>
      <c r="C15" s="3" t="str">
        <f t="shared" ref="C15:C21" si="1">INDEX($A$2:$D$9,MATCH(A15,$A$2:$A$9,0),3)</f>
        <v>Indiranagar</v>
      </c>
      <c r="D15" s="3">
        <f t="shared" ref="D15:D21" si="2">INDEX($A$2:$D$9,MATCH(A15,$A$2:$A$9,0),4)</f>
        <v>4954959</v>
      </c>
    </row>
    <row r="16" spans="1:7" x14ac:dyDescent="0.3">
      <c r="A16" s="2" t="s">
        <v>10</v>
      </c>
      <c r="B16" s="3" t="str">
        <f t="shared" si="0"/>
        <v>Amit</v>
      </c>
      <c r="C16" s="3" t="str">
        <f t="shared" si="1"/>
        <v>Richmond</v>
      </c>
      <c r="D16" s="3">
        <f t="shared" si="2"/>
        <v>2234567</v>
      </c>
    </row>
    <row r="17" spans="1:4" x14ac:dyDescent="0.3">
      <c r="A17" s="2" t="s">
        <v>13</v>
      </c>
      <c r="B17" s="3" t="str">
        <f t="shared" si="0"/>
        <v>Hema</v>
      </c>
      <c r="C17" s="3" t="str">
        <f t="shared" si="1"/>
        <v>Indiranagar</v>
      </c>
      <c r="D17" s="3">
        <f t="shared" si="2"/>
        <v>3365124</v>
      </c>
    </row>
    <row r="18" spans="1:4" x14ac:dyDescent="0.3">
      <c r="A18" s="2" t="s">
        <v>22</v>
      </c>
      <c r="B18" s="3" t="str">
        <f t="shared" si="0"/>
        <v>Harish</v>
      </c>
      <c r="C18" s="3" t="str">
        <f t="shared" si="1"/>
        <v>Domlur</v>
      </c>
      <c r="D18" s="3">
        <f t="shared" si="2"/>
        <v>4559300</v>
      </c>
    </row>
    <row r="19" spans="1:4" x14ac:dyDescent="0.3">
      <c r="A19" s="2" t="s">
        <v>19</v>
      </c>
      <c r="B19" s="3" t="str">
        <f t="shared" si="0"/>
        <v>Raj</v>
      </c>
      <c r="C19" s="3" t="str">
        <f t="shared" si="1"/>
        <v>RT Nagar</v>
      </c>
      <c r="D19" s="3">
        <f t="shared" si="2"/>
        <v>5692039</v>
      </c>
    </row>
    <row r="20" spans="1:4" x14ac:dyDescent="0.3">
      <c r="A20" s="2" t="s">
        <v>4</v>
      </c>
      <c r="B20" s="3" t="str">
        <f t="shared" si="0"/>
        <v>Anand</v>
      </c>
      <c r="C20" s="3" t="str">
        <f t="shared" si="1"/>
        <v>Domlur</v>
      </c>
      <c r="D20" s="3">
        <f t="shared" si="2"/>
        <v>5446578</v>
      </c>
    </row>
    <row r="21" spans="1:4" x14ac:dyDescent="0.3">
      <c r="A21" s="2" t="s">
        <v>7</v>
      </c>
      <c r="B21" s="3" t="str">
        <f t="shared" si="0"/>
        <v>Kiran</v>
      </c>
      <c r="C21" s="3" t="str">
        <f t="shared" si="1"/>
        <v>Jayanagar</v>
      </c>
      <c r="D21" s="3">
        <f t="shared" si="2"/>
        <v>6634554</v>
      </c>
    </row>
  </sheetData>
  <mergeCells count="1">
    <mergeCell ref="A11:E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0298-2617-4CDB-86D0-1BBC8F993CBF}">
  <dimension ref="A1:E38"/>
  <sheetViews>
    <sheetView workbookViewId="0">
      <selection activeCell="L21" sqref="L21"/>
    </sheetView>
  </sheetViews>
  <sheetFormatPr defaultRowHeight="14.4" x14ac:dyDescent="0.3"/>
  <cols>
    <col min="1" max="1" width="17.6640625" bestFit="1" customWidth="1"/>
    <col min="2" max="2" width="7.88671875" bestFit="1" customWidth="1"/>
    <col min="3" max="3" width="22.6640625" bestFit="1" customWidth="1"/>
    <col min="4" max="4" width="7.5546875" bestFit="1" customWidth="1"/>
    <col min="5" max="5" width="29.5546875" bestFit="1" customWidth="1"/>
  </cols>
  <sheetData>
    <row r="1" spans="1:5" x14ac:dyDescent="0.3">
      <c r="A1" s="4" t="s">
        <v>1</v>
      </c>
      <c r="B1" s="4" t="s">
        <v>28</v>
      </c>
      <c r="C1" s="4" t="s">
        <v>29</v>
      </c>
      <c r="D1" s="4" t="s">
        <v>30</v>
      </c>
      <c r="E1" s="4" t="s">
        <v>31</v>
      </c>
    </row>
    <row r="2" spans="1:5" x14ac:dyDescent="0.3">
      <c r="A2" s="2" t="s">
        <v>32</v>
      </c>
      <c r="B2" s="2">
        <v>209732</v>
      </c>
      <c r="C2" s="2" t="s">
        <v>33</v>
      </c>
      <c r="D2" s="2">
        <v>9142</v>
      </c>
      <c r="E2" s="2" t="s">
        <v>34</v>
      </c>
    </row>
    <row r="3" spans="1:5" x14ac:dyDescent="0.3">
      <c r="A3" s="2" t="s">
        <v>35</v>
      </c>
      <c r="B3" s="2">
        <v>192218</v>
      </c>
      <c r="C3" s="2" t="s">
        <v>33</v>
      </c>
      <c r="D3" s="2">
        <v>9060</v>
      </c>
      <c r="E3" s="2" t="s">
        <v>36</v>
      </c>
    </row>
    <row r="4" spans="1:5" x14ac:dyDescent="0.3">
      <c r="A4" s="2" t="s">
        <v>37</v>
      </c>
      <c r="B4" s="2">
        <v>207475</v>
      </c>
      <c r="C4" s="2" t="s">
        <v>33</v>
      </c>
      <c r="D4" s="2">
        <v>9214</v>
      </c>
      <c r="E4" s="2" t="s">
        <v>38</v>
      </c>
    </row>
    <row r="5" spans="1:5" x14ac:dyDescent="0.3">
      <c r="A5" s="2" t="s">
        <v>39</v>
      </c>
      <c r="B5" s="2">
        <v>197810</v>
      </c>
      <c r="C5" s="2" t="s">
        <v>33</v>
      </c>
      <c r="D5" s="2">
        <v>9083</v>
      </c>
      <c r="E5" s="2" t="s">
        <v>40</v>
      </c>
    </row>
    <row r="6" spans="1:5" x14ac:dyDescent="0.3">
      <c r="A6" s="2" t="s">
        <v>41</v>
      </c>
      <c r="B6" s="2">
        <v>183674</v>
      </c>
      <c r="C6" s="2" t="s">
        <v>42</v>
      </c>
      <c r="D6" s="2">
        <v>5600</v>
      </c>
      <c r="E6" s="2" t="s">
        <v>43</v>
      </c>
    </row>
    <row r="7" spans="1:5" x14ac:dyDescent="0.3">
      <c r="A7" s="2" t="s">
        <v>44</v>
      </c>
      <c r="B7" s="2">
        <v>216354</v>
      </c>
      <c r="C7" s="2" t="s">
        <v>42</v>
      </c>
      <c r="D7" s="2">
        <v>9098</v>
      </c>
      <c r="E7" s="2" t="s">
        <v>45</v>
      </c>
    </row>
    <row r="8" spans="1:5" x14ac:dyDescent="0.3">
      <c r="A8" s="2" t="s">
        <v>46</v>
      </c>
      <c r="B8" s="2">
        <v>196980</v>
      </c>
      <c r="C8" s="2" t="s">
        <v>42</v>
      </c>
      <c r="D8" s="2">
        <v>9212</v>
      </c>
      <c r="E8" s="2" t="s">
        <v>47</v>
      </c>
    </row>
    <row r="9" spans="1:5" x14ac:dyDescent="0.3">
      <c r="A9" s="2" t="s">
        <v>48</v>
      </c>
      <c r="B9" s="2">
        <v>213449</v>
      </c>
      <c r="C9" s="2" t="s">
        <v>42</v>
      </c>
      <c r="D9" s="2">
        <v>7350</v>
      </c>
      <c r="E9" s="2" t="s">
        <v>49</v>
      </c>
    </row>
    <row r="10" spans="1:5" x14ac:dyDescent="0.3">
      <c r="A10" s="2" t="s">
        <v>50</v>
      </c>
      <c r="B10" s="2">
        <v>197340</v>
      </c>
      <c r="C10" s="2" t="s">
        <v>42</v>
      </c>
      <c r="D10" s="2">
        <v>9089</v>
      </c>
      <c r="E10" s="2" t="s">
        <v>51</v>
      </c>
    </row>
    <row r="11" spans="1:5" x14ac:dyDescent="0.3">
      <c r="A11" s="2" t="s">
        <v>52</v>
      </c>
      <c r="B11" s="2">
        <v>206433</v>
      </c>
      <c r="C11" s="2" t="s">
        <v>53</v>
      </c>
      <c r="D11" s="2">
        <v>9051</v>
      </c>
      <c r="E11" s="2" t="s">
        <v>54</v>
      </c>
    </row>
    <row r="12" spans="1:5" x14ac:dyDescent="0.3">
      <c r="A12" s="2" t="s">
        <v>55</v>
      </c>
      <c r="B12" s="2">
        <v>172072</v>
      </c>
      <c r="C12" s="2" t="s">
        <v>53</v>
      </c>
      <c r="D12" s="2">
        <v>9045</v>
      </c>
      <c r="E12" s="2" t="s">
        <v>56</v>
      </c>
    </row>
    <row r="13" spans="1:5" x14ac:dyDescent="0.3">
      <c r="A13" s="2" t="s">
        <v>57</v>
      </c>
      <c r="B13" s="2">
        <v>139106</v>
      </c>
      <c r="C13" s="2" t="s">
        <v>53</v>
      </c>
      <c r="D13" s="2">
        <v>9044</v>
      </c>
      <c r="E13" s="2" t="s">
        <v>58</v>
      </c>
    </row>
    <row r="14" spans="1:5" x14ac:dyDescent="0.3">
      <c r="A14" s="2" t="s">
        <v>59</v>
      </c>
      <c r="B14" s="2">
        <v>183974</v>
      </c>
      <c r="C14" s="2" t="s">
        <v>53</v>
      </c>
      <c r="D14" s="2">
        <v>9052</v>
      </c>
      <c r="E14" s="2" t="s">
        <v>60</v>
      </c>
    </row>
    <row r="15" spans="1:5" x14ac:dyDescent="0.3">
      <c r="A15" s="2" t="s">
        <v>61</v>
      </c>
      <c r="B15" s="2">
        <v>200541</v>
      </c>
      <c r="C15" s="2" t="s">
        <v>53</v>
      </c>
      <c r="D15" s="2">
        <v>7302</v>
      </c>
      <c r="E15" s="2" t="s">
        <v>62</v>
      </c>
    </row>
    <row r="16" spans="1:5" x14ac:dyDescent="0.3">
      <c r="A16" s="2" t="s">
        <v>63</v>
      </c>
      <c r="B16" s="2">
        <v>200474</v>
      </c>
      <c r="C16" s="2" t="s">
        <v>53</v>
      </c>
      <c r="D16" s="2">
        <v>7301</v>
      </c>
      <c r="E16" s="2" t="s">
        <v>64</v>
      </c>
    </row>
    <row r="17" spans="1:5" x14ac:dyDescent="0.3">
      <c r="A17" s="2" t="s">
        <v>65</v>
      </c>
      <c r="B17" s="2">
        <v>200548</v>
      </c>
      <c r="C17" s="2" t="s">
        <v>53</v>
      </c>
      <c r="D17" s="2">
        <v>7311</v>
      </c>
      <c r="E17" s="2" t="s">
        <v>66</v>
      </c>
    </row>
    <row r="20" spans="1:5" x14ac:dyDescent="0.3">
      <c r="A20" s="10" t="s">
        <v>27</v>
      </c>
      <c r="B20" s="11"/>
      <c r="C20" s="11"/>
      <c r="D20" s="11"/>
      <c r="E20" s="11"/>
    </row>
    <row r="23" spans="1:5" x14ac:dyDescent="0.3">
      <c r="A23" s="4" t="s">
        <v>1</v>
      </c>
      <c r="B23" s="4" t="s">
        <v>28</v>
      </c>
      <c r="C23" s="4" t="s">
        <v>29</v>
      </c>
      <c r="D23" s="4" t="s">
        <v>30</v>
      </c>
      <c r="E23" s="4" t="s">
        <v>31</v>
      </c>
    </row>
    <row r="24" spans="1:5" x14ac:dyDescent="0.3">
      <c r="A24" s="5" t="str">
        <f>INDEX($A$2:$E$17,MATCH(B24,$B$2:$B$17,0),1)</f>
        <v>Rupali Shenoy</v>
      </c>
      <c r="B24" s="6">
        <v>209732</v>
      </c>
      <c r="C24" s="5" t="str">
        <f>INDEX($A$2:$E$17,MATCH(B24,$B$2:$B$17,0),3)</f>
        <v>Trade &amp; Risk Management</v>
      </c>
      <c r="D24" s="5">
        <f>INDEX($A$2:$E$17,MATCH(B24,$B$2:$B$17,0),4)</f>
        <v>9142</v>
      </c>
      <c r="E24" s="5" t="str">
        <f>INDEX($A$2:$E$17,MATCH(B24,$B$2:$B$17,0),5)</f>
        <v>rupali.shenoy@reuters.com</v>
      </c>
    </row>
    <row r="25" spans="1:5" x14ac:dyDescent="0.3">
      <c r="A25" s="5" t="str">
        <f t="shared" ref="A25:A27" si="0">INDEX($A$2:$E$17,MATCH(B25,$B$2:$B$17,0),1)</f>
        <v>Ashish Bhattacharya</v>
      </c>
      <c r="B25" s="6">
        <v>192218</v>
      </c>
      <c r="C25" s="5" t="str">
        <f t="shared" ref="C25:C27" si="1">INDEX($A$2:$E$17,MATCH(B25,$B$2:$B$17,0),3)</f>
        <v>Trade &amp; Risk Management</v>
      </c>
      <c r="D25" s="5">
        <f t="shared" ref="D25:D27" si="2">INDEX($A$2:$E$17,MATCH(B25,$B$2:$B$17,0),4)</f>
        <v>9060</v>
      </c>
      <c r="E25" s="5" t="str">
        <f t="shared" ref="E25:E27" si="3">INDEX($A$2:$E$17,MATCH(B25,$B$2:$B$17,0),5)</f>
        <v>ashish.bhattacharya@reuters.com</v>
      </c>
    </row>
    <row r="26" spans="1:5" x14ac:dyDescent="0.3">
      <c r="A26" s="5" t="str">
        <f t="shared" si="0"/>
        <v>Shweta Jaju</v>
      </c>
      <c r="B26" s="6">
        <v>207475</v>
      </c>
      <c r="C26" s="5" t="str">
        <f t="shared" si="1"/>
        <v>Trade &amp; Risk Management</v>
      </c>
      <c r="D26" s="5">
        <f t="shared" si="2"/>
        <v>9214</v>
      </c>
      <c r="E26" s="5" t="str">
        <f t="shared" si="3"/>
        <v>shweta.jaju@reuters.com</v>
      </c>
    </row>
    <row r="27" spans="1:5" x14ac:dyDescent="0.3">
      <c r="A27" s="5" t="str">
        <f t="shared" si="0"/>
        <v>Vinod Kale</v>
      </c>
      <c r="B27" s="6">
        <v>197810</v>
      </c>
      <c r="C27" s="5" t="str">
        <f t="shared" si="1"/>
        <v>Trade &amp; Risk Management</v>
      </c>
      <c r="D27" s="5">
        <f t="shared" si="2"/>
        <v>9083</v>
      </c>
      <c r="E27" s="5" t="str">
        <f t="shared" si="3"/>
        <v>vinod.kale@reuters.com</v>
      </c>
    </row>
    <row r="28" spans="1:5" x14ac:dyDescent="0.3">
      <c r="A28" s="5" t="str">
        <f t="shared" ref="A28:A38" si="4">INDEX($A$2:$E$17,MATCH(B28,$B$2:$B$17,0),1)</f>
        <v>Ina Dsouza</v>
      </c>
      <c r="B28" s="6">
        <v>216354</v>
      </c>
      <c r="C28" s="5" t="str">
        <f t="shared" ref="C28:C38" si="5">INDEX($A$2:$E$17,MATCH(B28,$B$2:$B$17,0),3)</f>
        <v>Client Training</v>
      </c>
      <c r="D28" s="5">
        <f t="shared" ref="D28:D38" si="6">INDEX($A$2:$E$17,MATCH(B28,$B$2:$B$17,0),4)</f>
        <v>9098</v>
      </c>
      <c r="E28" s="5" t="str">
        <f t="shared" ref="E28:E38" si="7">INDEX($A$2:$E$17,MATCH(B28,$B$2:$B$17,0),5)</f>
        <v>ina.dsouza@reuters.com</v>
      </c>
    </row>
    <row r="29" spans="1:5" x14ac:dyDescent="0.3">
      <c r="A29" s="5" t="str">
        <f t="shared" si="4"/>
        <v>Mrinal Sawarkar</v>
      </c>
      <c r="B29" s="6">
        <v>196980</v>
      </c>
      <c r="C29" s="5" t="str">
        <f t="shared" si="5"/>
        <v>Client Training</v>
      </c>
      <c r="D29" s="5">
        <f t="shared" si="6"/>
        <v>9212</v>
      </c>
      <c r="E29" s="5" t="str">
        <f t="shared" si="7"/>
        <v>mrinal.sawarkar@reuters.com</v>
      </c>
    </row>
    <row r="30" spans="1:5" x14ac:dyDescent="0.3">
      <c r="A30" s="5" t="str">
        <f t="shared" si="4"/>
        <v>Abhishek Mishra</v>
      </c>
      <c r="B30" s="6">
        <v>213449</v>
      </c>
      <c r="C30" s="5" t="str">
        <f t="shared" si="5"/>
        <v>Client Training</v>
      </c>
      <c r="D30" s="5">
        <f t="shared" si="6"/>
        <v>7350</v>
      </c>
      <c r="E30" s="5" t="str">
        <f t="shared" si="7"/>
        <v>abhishek.mishra@reuters.com</v>
      </c>
    </row>
    <row r="31" spans="1:5" x14ac:dyDescent="0.3">
      <c r="A31" s="5" t="str">
        <f t="shared" si="4"/>
        <v>Sweta Vaishnav</v>
      </c>
      <c r="B31" s="6">
        <v>197340</v>
      </c>
      <c r="C31" s="5" t="str">
        <f t="shared" si="5"/>
        <v>Client Training</v>
      </c>
      <c r="D31" s="5">
        <f t="shared" si="6"/>
        <v>9089</v>
      </c>
      <c r="E31" s="5" t="str">
        <f t="shared" si="7"/>
        <v>sweta.vaishnav@reuters.com</v>
      </c>
    </row>
    <row r="32" spans="1:5" x14ac:dyDescent="0.3">
      <c r="A32" s="5" t="str">
        <f t="shared" si="4"/>
        <v>Deepali Khot</v>
      </c>
      <c r="B32" s="6">
        <v>206433</v>
      </c>
      <c r="C32" s="5" t="str">
        <f t="shared" si="5"/>
        <v>Business Direct</v>
      </c>
      <c r="D32" s="5">
        <f t="shared" si="6"/>
        <v>9051</v>
      </c>
      <c r="E32" s="5" t="str">
        <f t="shared" si="7"/>
        <v>deepali.khot@reuters.com</v>
      </c>
    </row>
    <row r="33" spans="1:5" x14ac:dyDescent="0.3">
      <c r="A33" s="5" t="str">
        <f t="shared" si="4"/>
        <v>Rashmi Dabholkar</v>
      </c>
      <c r="B33" s="6">
        <v>172072</v>
      </c>
      <c r="C33" s="5" t="str">
        <f t="shared" si="5"/>
        <v>Business Direct</v>
      </c>
      <c r="D33" s="5">
        <f t="shared" si="6"/>
        <v>9045</v>
      </c>
      <c r="E33" s="5" t="str">
        <f t="shared" si="7"/>
        <v>rashmi.dabholkar@reuters.com</v>
      </c>
    </row>
    <row r="34" spans="1:5" x14ac:dyDescent="0.3">
      <c r="A34" s="5" t="str">
        <f t="shared" si="4"/>
        <v>Payal Mittal</v>
      </c>
      <c r="B34" s="6">
        <v>139106</v>
      </c>
      <c r="C34" s="5" t="str">
        <f t="shared" si="5"/>
        <v>Business Direct</v>
      </c>
      <c r="D34" s="5">
        <f t="shared" si="6"/>
        <v>9044</v>
      </c>
      <c r="E34" s="5" t="str">
        <f t="shared" si="7"/>
        <v>payal.mittal@reuters.com</v>
      </c>
    </row>
    <row r="35" spans="1:5" x14ac:dyDescent="0.3">
      <c r="A35" s="5" t="str">
        <f t="shared" si="4"/>
        <v>Jacinta D'Souza</v>
      </c>
      <c r="B35" s="6">
        <v>183974</v>
      </c>
      <c r="C35" s="5" t="str">
        <f t="shared" si="5"/>
        <v>Business Direct</v>
      </c>
      <c r="D35" s="5">
        <f t="shared" si="6"/>
        <v>9052</v>
      </c>
      <c r="E35" s="5" t="str">
        <f t="shared" si="7"/>
        <v>jacinta.dsouza@reuters.com</v>
      </c>
    </row>
    <row r="36" spans="1:5" x14ac:dyDescent="0.3">
      <c r="A36" s="5" t="str">
        <f t="shared" si="4"/>
        <v>Teresa Quadras</v>
      </c>
      <c r="B36" s="6">
        <v>200541</v>
      </c>
      <c r="C36" s="5" t="str">
        <f t="shared" si="5"/>
        <v>Business Direct</v>
      </c>
      <c r="D36" s="5">
        <f t="shared" si="6"/>
        <v>7302</v>
      </c>
      <c r="E36" s="5" t="str">
        <f t="shared" si="7"/>
        <v>teresa.quadras@reuters.com</v>
      </c>
    </row>
    <row r="37" spans="1:5" x14ac:dyDescent="0.3">
      <c r="A37" s="5" t="str">
        <f t="shared" si="4"/>
        <v>Griselia Martins</v>
      </c>
      <c r="B37" s="6">
        <v>200474</v>
      </c>
      <c r="C37" s="5" t="str">
        <f t="shared" si="5"/>
        <v>Business Direct</v>
      </c>
      <c r="D37" s="5">
        <f t="shared" si="6"/>
        <v>7301</v>
      </c>
      <c r="E37" s="5" t="str">
        <f t="shared" si="7"/>
        <v>griselia.martins@reuters.com</v>
      </c>
    </row>
    <row r="38" spans="1:5" x14ac:dyDescent="0.3">
      <c r="A38" s="5" t="str">
        <f t="shared" si="4"/>
        <v>Vivek Oak</v>
      </c>
      <c r="B38" s="6">
        <v>200548</v>
      </c>
      <c r="C38" s="5" t="str">
        <f t="shared" si="5"/>
        <v>Business Direct</v>
      </c>
      <c r="D38" s="5">
        <f t="shared" si="6"/>
        <v>7311</v>
      </c>
      <c r="E38" s="5" t="str">
        <f t="shared" si="7"/>
        <v>vivek.oak@reuters.com</v>
      </c>
    </row>
  </sheetData>
  <mergeCells count="1"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Mahato</dc:creator>
  <cp:lastModifiedBy>Ankit Mahato</cp:lastModifiedBy>
  <dcterms:created xsi:type="dcterms:W3CDTF">2026-08-18T11:16:04Z</dcterms:created>
  <dcterms:modified xsi:type="dcterms:W3CDTF">2026-08-24T17:35:23Z</dcterms:modified>
</cp:coreProperties>
</file>