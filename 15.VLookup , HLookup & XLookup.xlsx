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C\Data Science\Data Science\2.Excel\"/>
    </mc:Choice>
  </mc:AlternateContent>
  <xr:revisionPtr revIDLastSave="0" documentId="13_ncr:1_{DCAE6FC6-DCA2-4627-86B9-7DAAEDE570E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Lookup Ex 1" sheetId="1" r:id="rId1"/>
    <sheet name="VLookup Ex 2" sheetId="2" r:id="rId2"/>
    <sheet name="HLooku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3" l="1"/>
  <c r="D12" i="3"/>
  <c r="C12" i="3"/>
  <c r="B12" i="3"/>
  <c r="E11" i="3"/>
  <c r="D11" i="3"/>
  <c r="C11" i="3"/>
  <c r="B11" i="3"/>
  <c r="E10" i="3"/>
  <c r="D10" i="3"/>
  <c r="C10" i="3"/>
  <c r="B10" i="3"/>
  <c r="I19" i="2"/>
  <c r="I28" i="2"/>
  <c r="H28" i="2"/>
  <c r="J28" i="2" s="1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H19" i="2"/>
  <c r="B19" i="1"/>
  <c r="B20" i="1"/>
  <c r="B21" i="1"/>
  <c r="B22" i="1"/>
  <c r="B23" i="1"/>
  <c r="B24" i="1"/>
  <c r="B25" i="1"/>
  <c r="B18" i="1"/>
  <c r="C19" i="1"/>
  <c r="C20" i="1"/>
  <c r="C21" i="1"/>
  <c r="C22" i="1"/>
  <c r="C23" i="1"/>
  <c r="C24" i="1"/>
  <c r="C25" i="1"/>
  <c r="C18" i="1"/>
  <c r="D19" i="1"/>
  <c r="D20" i="1"/>
  <c r="D21" i="1"/>
  <c r="D22" i="1"/>
  <c r="D23" i="1"/>
  <c r="D24" i="1"/>
  <c r="D25" i="1"/>
  <c r="D18" i="1"/>
  <c r="J21" i="2" l="1"/>
  <c r="J22" i="2"/>
  <c r="J19" i="2"/>
  <c r="J25" i="2"/>
  <c r="J27" i="2"/>
  <c r="J24" i="2"/>
  <c r="J26" i="2"/>
  <c r="J20" i="2"/>
  <c r="J23" i="2"/>
</calcChain>
</file>

<file path=xl/sharedStrings.xml><?xml version="1.0" encoding="utf-8"?>
<sst xmlns="http://schemas.openxmlformats.org/spreadsheetml/2006/main" count="120" uniqueCount="61">
  <si>
    <t>EmpNo</t>
  </si>
  <si>
    <t>Name</t>
  </si>
  <si>
    <t>Address</t>
  </si>
  <si>
    <t>Phone</t>
  </si>
  <si>
    <t>E001</t>
  </si>
  <si>
    <t>Anand</t>
  </si>
  <si>
    <t>Domlur</t>
  </si>
  <si>
    <t>5446578</t>
  </si>
  <si>
    <t>E005</t>
  </si>
  <si>
    <t>E002</t>
  </si>
  <si>
    <t>Kiran</t>
  </si>
  <si>
    <t>Jaynagar</t>
  </si>
  <si>
    <t>6634554</t>
  </si>
  <si>
    <t>E008</t>
  </si>
  <si>
    <t>E003</t>
  </si>
  <si>
    <t>Amit</t>
  </si>
  <si>
    <t>Richmond</t>
  </si>
  <si>
    <t>2234567</t>
  </si>
  <si>
    <t>E004</t>
  </si>
  <si>
    <t>Hema</t>
  </si>
  <si>
    <t>Indiranagar</t>
  </si>
  <si>
    <t>3365124</t>
  </si>
  <si>
    <t>Deepa</t>
  </si>
  <si>
    <t>HAL</t>
  </si>
  <si>
    <t>5561243</t>
  </si>
  <si>
    <t>E007</t>
  </si>
  <si>
    <t>E006</t>
  </si>
  <si>
    <t>Raj</t>
  </si>
  <si>
    <t>RT Nagar</t>
  </si>
  <si>
    <t>5692039</t>
  </si>
  <si>
    <t>Harish</t>
  </si>
  <si>
    <t>4559300</t>
  </si>
  <si>
    <t>4954959</t>
  </si>
  <si>
    <t>Items</t>
  </si>
  <si>
    <t>Price ($)</t>
  </si>
  <si>
    <t>Mon</t>
  </si>
  <si>
    <t>Tue</t>
  </si>
  <si>
    <t>Wed</t>
  </si>
  <si>
    <t>Thur</t>
  </si>
  <si>
    <t>Fri</t>
  </si>
  <si>
    <t>Sat</t>
  </si>
  <si>
    <t>Total Sales</t>
  </si>
  <si>
    <t>Price</t>
  </si>
  <si>
    <t>Total Income</t>
  </si>
  <si>
    <t>Burgers</t>
  </si>
  <si>
    <t>Lasange</t>
  </si>
  <si>
    <t>Chips</t>
  </si>
  <si>
    <t>Salads</t>
  </si>
  <si>
    <t>Fish</t>
  </si>
  <si>
    <t>Quiche</t>
  </si>
  <si>
    <t>Pies</t>
  </si>
  <si>
    <t>Pizzas</t>
  </si>
  <si>
    <t>Soup</t>
  </si>
  <si>
    <t>Sandwiches</t>
  </si>
  <si>
    <t>EXERCISE 2</t>
  </si>
  <si>
    <t>EXERCISE 1</t>
  </si>
  <si>
    <t xml:space="preserve">Name </t>
  </si>
  <si>
    <t xml:space="preserve">Address </t>
  </si>
  <si>
    <t xml:space="preserve">Phone </t>
  </si>
  <si>
    <t>1. Calculate total sales of each item over the six days.</t>
  </si>
  <si>
    <t>2. Show the total income for the sales of each item during the six-day period.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</si>
</sst>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FF6FF"/>
        <bgColor rgb="FFEFF6FF"/>
      </patternFill>
    </fill>
    <fill>
      <patternFill patternType="solid">
        <fgColor theme="2" tint="-0.249977111117893"/>
        <bgColor rgb="FF1B365D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164" fontId="1" fillId="0" borderId="1" xfId="0" applyNumberFormat="1" applyFont="1" applyBorder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3" fontId="0" fillId="2" borderId="1" xfId="0" applyNumberFormat="1" applyFill="1" applyBorder="1"/>
    <xf numFmtId="164" fontId="0" fillId="2" borderId="1" xfId="0" applyNumberFormat="1" applyFill="1" applyBorder="1"/>
    <xf numFmtId="0" fontId="5" fillId="6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3</xdr:row>
      <xdr:rowOff>137160</xdr:rowOff>
    </xdr:from>
    <xdr:to>
      <xdr:col>8</xdr:col>
      <xdr:colOff>708660</xdr:colOff>
      <xdr:row>10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868DA16-092C-296C-B82C-430100DD0200}"/>
            </a:ext>
          </a:extLst>
        </xdr:cNvPr>
        <xdr:cNvSpPr txBox="1"/>
      </xdr:nvSpPr>
      <xdr:spPr>
        <a:xfrm>
          <a:off x="4983480" y="716280"/>
          <a:ext cx="3406140" cy="116586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rgbClr val="FF0000"/>
              </a:solidFill>
            </a:rPr>
            <a:t>Vlookup</a:t>
          </a:r>
          <a:endParaRPr lang="en-IN" sz="1100" b="1">
            <a:solidFill>
              <a:schemeClr val="dk1"/>
            </a:solidFill>
          </a:endParaRPr>
        </a:p>
        <a:p>
          <a:endParaRPr lang="en-IN" sz="1100" b="1">
            <a:solidFill>
              <a:schemeClr val="dk1"/>
            </a:solidFill>
          </a:endParaRPr>
        </a:p>
        <a:p>
          <a:r>
            <a:rPr lang="en-IN" sz="1100" b="1"/>
            <a:t> The VLOOKUP (Vertical lookup) function looks for a value in the</a:t>
          </a:r>
          <a:r>
            <a:rPr lang="en-IN" sz="1100" b="1" baseline="0"/>
            <a:t> </a:t>
          </a:r>
          <a:r>
            <a:rPr lang="en-IN" sz="1100" b="1"/>
            <a:t>leftmost column of a table, and then returns a value in the same row from another column you specify.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workbookViewId="0">
      <selection activeCell="G16" sqref="G16"/>
    </sheetView>
  </sheetViews>
  <sheetFormatPr defaultRowHeight="14.4" x14ac:dyDescent="0.3"/>
  <cols>
    <col min="1" max="2" width="14" customWidth="1"/>
    <col min="3" max="3" width="16" customWidth="1"/>
    <col min="4" max="4" width="14" customWidth="1"/>
    <col min="5" max="5" width="6" customWidth="1"/>
    <col min="6" max="6" width="12" customWidth="1"/>
    <col min="7" max="9" width="18" customWidth="1"/>
    <col min="10" max="10" width="10" customWidth="1"/>
    <col min="11" max="11" width="14" customWidth="1"/>
    <col min="12" max="12" width="12" customWidth="1"/>
    <col min="13" max="13" width="15" customWidth="1"/>
  </cols>
  <sheetData>
    <row r="1" spans="1:4" ht="16.8" customHeight="1" x14ac:dyDescent="0.3"/>
    <row r="4" spans="1:4" ht="16.2" customHeight="1" x14ac:dyDescent="0.3">
      <c r="A4" s="1" t="s">
        <v>0</v>
      </c>
      <c r="B4" s="1" t="s">
        <v>1</v>
      </c>
      <c r="C4" s="1" t="s">
        <v>2</v>
      </c>
      <c r="D4" s="1" t="s">
        <v>3</v>
      </c>
    </row>
    <row r="5" spans="1:4" x14ac:dyDescent="0.3">
      <c r="A5" s="2" t="s">
        <v>4</v>
      </c>
      <c r="B5" s="3" t="s">
        <v>5</v>
      </c>
      <c r="C5" s="3" t="s">
        <v>6</v>
      </c>
      <c r="D5" s="3" t="s">
        <v>7</v>
      </c>
    </row>
    <row r="6" spans="1:4" x14ac:dyDescent="0.3">
      <c r="A6" s="2" t="s">
        <v>9</v>
      </c>
      <c r="B6" s="3" t="s">
        <v>10</v>
      </c>
      <c r="C6" s="3" t="s">
        <v>11</v>
      </c>
      <c r="D6" s="3" t="s">
        <v>12</v>
      </c>
    </row>
    <row r="7" spans="1:4" x14ac:dyDescent="0.3">
      <c r="A7" s="2" t="s">
        <v>14</v>
      </c>
      <c r="B7" s="3" t="s">
        <v>15</v>
      </c>
      <c r="C7" s="3" t="s">
        <v>16</v>
      </c>
      <c r="D7" s="3" t="s">
        <v>17</v>
      </c>
    </row>
    <row r="8" spans="1:4" x14ac:dyDescent="0.3">
      <c r="A8" s="2" t="s">
        <v>18</v>
      </c>
      <c r="B8" s="3" t="s">
        <v>19</v>
      </c>
      <c r="C8" s="3" t="s">
        <v>20</v>
      </c>
      <c r="D8" s="3" t="s">
        <v>21</v>
      </c>
    </row>
    <row r="9" spans="1:4" x14ac:dyDescent="0.3">
      <c r="A9" s="2" t="s">
        <v>8</v>
      </c>
      <c r="B9" s="3" t="s">
        <v>22</v>
      </c>
      <c r="C9" s="3" t="s">
        <v>23</v>
      </c>
      <c r="D9" s="3" t="s">
        <v>24</v>
      </c>
    </row>
    <row r="10" spans="1:4" x14ac:dyDescent="0.3">
      <c r="A10" s="2" t="s">
        <v>26</v>
      </c>
      <c r="B10" s="3" t="s">
        <v>27</v>
      </c>
      <c r="C10" s="3" t="s">
        <v>28</v>
      </c>
      <c r="D10" s="3" t="s">
        <v>29</v>
      </c>
    </row>
    <row r="11" spans="1:4" x14ac:dyDescent="0.3">
      <c r="A11" s="2" t="s">
        <v>25</v>
      </c>
      <c r="B11" s="3" t="s">
        <v>30</v>
      </c>
      <c r="C11" s="3" t="s">
        <v>6</v>
      </c>
      <c r="D11" s="3" t="s">
        <v>31</v>
      </c>
    </row>
    <row r="12" spans="1:4" x14ac:dyDescent="0.3">
      <c r="A12" s="2" t="s">
        <v>13</v>
      </c>
      <c r="B12" s="3" t="s">
        <v>10</v>
      </c>
      <c r="C12" s="3" t="s">
        <v>20</v>
      </c>
      <c r="D12" s="3" t="s">
        <v>32</v>
      </c>
    </row>
    <row r="15" spans="1:4" ht="14.4" customHeight="1" x14ac:dyDescent="0.3">
      <c r="A15" s="17" t="s">
        <v>55</v>
      </c>
      <c r="B15" s="17"/>
      <c r="C15" s="17"/>
      <c r="D15" s="17"/>
    </row>
    <row r="17" spans="1:11" ht="17.399999999999999" customHeight="1" x14ac:dyDescent="0.3">
      <c r="A17" s="1" t="s">
        <v>0</v>
      </c>
      <c r="B17" s="1" t="s">
        <v>56</v>
      </c>
      <c r="C17" s="1" t="s">
        <v>57</v>
      </c>
      <c r="D17" s="1" t="s">
        <v>58</v>
      </c>
    </row>
    <row r="18" spans="1:11" x14ac:dyDescent="0.3">
      <c r="A18" s="2" t="s">
        <v>8</v>
      </c>
      <c r="B18" s="4" t="str">
        <f t="shared" ref="B18:B25" si="0">VLOOKUP(A18,$A$4:$D$12,2,0)</f>
        <v>Deepa</v>
      </c>
      <c r="C18" s="4" t="str">
        <f t="shared" ref="C18:C25" si="1">VLOOKUP(A18,$A$4:$D$12,3,0)</f>
        <v>HAL</v>
      </c>
      <c r="D18" s="4" t="str">
        <f t="shared" ref="D18:D25" si="2">VLOOKUP(A18,$A$4:$D$12,4,0)</f>
        <v>5561243</v>
      </c>
    </row>
    <row r="19" spans="1:11" x14ac:dyDescent="0.3">
      <c r="A19" s="2" t="s">
        <v>13</v>
      </c>
      <c r="B19" s="4" t="str">
        <f t="shared" si="0"/>
        <v>Kiran</v>
      </c>
      <c r="C19" s="4" t="str">
        <f t="shared" si="1"/>
        <v>Indiranagar</v>
      </c>
      <c r="D19" s="4" t="str">
        <f t="shared" si="2"/>
        <v>4954959</v>
      </c>
      <c r="H19" s="16"/>
      <c r="I19" s="16"/>
      <c r="J19" s="16"/>
      <c r="K19" s="16"/>
    </row>
    <row r="20" spans="1:11" x14ac:dyDescent="0.3">
      <c r="A20" s="2" t="s">
        <v>14</v>
      </c>
      <c r="B20" s="4" t="str">
        <f t="shared" si="0"/>
        <v>Amit</v>
      </c>
      <c r="C20" s="4" t="str">
        <f t="shared" si="1"/>
        <v>Richmond</v>
      </c>
      <c r="D20" s="4" t="str">
        <f t="shared" si="2"/>
        <v>2234567</v>
      </c>
    </row>
    <row r="21" spans="1:11" x14ac:dyDescent="0.3">
      <c r="A21" s="2" t="s">
        <v>18</v>
      </c>
      <c r="B21" s="4" t="str">
        <f t="shared" si="0"/>
        <v>Hema</v>
      </c>
      <c r="C21" s="4" t="str">
        <f t="shared" si="1"/>
        <v>Indiranagar</v>
      </c>
      <c r="D21" s="4" t="str">
        <f t="shared" si="2"/>
        <v>3365124</v>
      </c>
    </row>
    <row r="22" spans="1:11" x14ac:dyDescent="0.3">
      <c r="A22" s="2" t="s">
        <v>25</v>
      </c>
      <c r="B22" s="4" t="str">
        <f t="shared" si="0"/>
        <v>Harish</v>
      </c>
      <c r="C22" s="4" t="str">
        <f t="shared" si="1"/>
        <v>Domlur</v>
      </c>
      <c r="D22" s="4" t="str">
        <f t="shared" si="2"/>
        <v>4559300</v>
      </c>
    </row>
    <row r="23" spans="1:11" x14ac:dyDescent="0.3">
      <c r="A23" s="2" t="s">
        <v>26</v>
      </c>
      <c r="B23" s="4" t="str">
        <f t="shared" si="0"/>
        <v>Raj</v>
      </c>
      <c r="C23" s="4" t="str">
        <f t="shared" si="1"/>
        <v>RT Nagar</v>
      </c>
      <c r="D23" s="4" t="str">
        <f t="shared" si="2"/>
        <v>5692039</v>
      </c>
    </row>
    <row r="24" spans="1:11" x14ac:dyDescent="0.3">
      <c r="A24" s="2" t="s">
        <v>4</v>
      </c>
      <c r="B24" s="4" t="str">
        <f t="shared" si="0"/>
        <v>Anand</v>
      </c>
      <c r="C24" s="4" t="str">
        <f t="shared" si="1"/>
        <v>Domlur</v>
      </c>
      <c r="D24" s="4" t="str">
        <f t="shared" si="2"/>
        <v>5446578</v>
      </c>
    </row>
    <row r="25" spans="1:11" x14ac:dyDescent="0.3">
      <c r="A25" s="2" t="s">
        <v>9</v>
      </c>
      <c r="B25" s="4" t="str">
        <f t="shared" si="0"/>
        <v>Kiran</v>
      </c>
      <c r="C25" s="4" t="str">
        <f t="shared" si="1"/>
        <v>Jaynagar</v>
      </c>
      <c r="D25" s="4" t="str">
        <f t="shared" si="2"/>
        <v>6634554</v>
      </c>
    </row>
  </sheetData>
  <mergeCells count="2">
    <mergeCell ref="H19:K19"/>
    <mergeCell ref="A15:D1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39184-6B08-41D1-BDE4-1A2C0AFEBD24}">
  <dimension ref="A1:J28"/>
  <sheetViews>
    <sheetView tabSelected="1" zoomScale="88" workbookViewId="0">
      <selection activeCell="O25" sqref="O25"/>
    </sheetView>
  </sheetViews>
  <sheetFormatPr defaultRowHeight="14.4" x14ac:dyDescent="0.3"/>
  <cols>
    <col min="1" max="1" width="10.109375" customWidth="1"/>
    <col min="8" max="8" width="12.44140625" customWidth="1"/>
    <col min="10" max="10" width="12" customWidth="1"/>
  </cols>
  <sheetData>
    <row r="1" spans="1:4" x14ac:dyDescent="0.3">
      <c r="A1" s="17" t="s">
        <v>54</v>
      </c>
      <c r="B1" s="17"/>
      <c r="C1" s="17"/>
      <c r="D1" s="17"/>
    </row>
    <row r="3" spans="1:4" x14ac:dyDescent="0.3">
      <c r="A3" s="1" t="s">
        <v>33</v>
      </c>
      <c r="B3" s="1" t="s">
        <v>34</v>
      </c>
    </row>
    <row r="4" spans="1:4" x14ac:dyDescent="0.3">
      <c r="A4" s="3" t="s">
        <v>44</v>
      </c>
      <c r="B4" s="5">
        <v>0.85</v>
      </c>
    </row>
    <row r="5" spans="1:4" x14ac:dyDescent="0.3">
      <c r="A5" s="3" t="s">
        <v>46</v>
      </c>
      <c r="B5" s="5">
        <v>0.5</v>
      </c>
    </row>
    <row r="6" spans="1:4" x14ac:dyDescent="0.3">
      <c r="A6" s="3" t="s">
        <v>48</v>
      </c>
      <c r="B6" s="5">
        <v>1.3</v>
      </c>
    </row>
    <row r="7" spans="1:4" x14ac:dyDescent="0.3">
      <c r="A7" s="3" t="s">
        <v>45</v>
      </c>
      <c r="B7" s="5">
        <v>1.95</v>
      </c>
    </row>
    <row r="8" spans="1:4" x14ac:dyDescent="0.3">
      <c r="A8" s="3" t="s">
        <v>50</v>
      </c>
      <c r="B8" s="5">
        <v>1.05</v>
      </c>
    </row>
    <row r="9" spans="1:4" x14ac:dyDescent="0.3">
      <c r="A9" s="3" t="s">
        <v>51</v>
      </c>
      <c r="B9" s="5">
        <v>1.75</v>
      </c>
    </row>
    <row r="10" spans="1:4" x14ac:dyDescent="0.3">
      <c r="A10" s="3" t="s">
        <v>49</v>
      </c>
      <c r="B10" s="5">
        <v>2.2000000000000002</v>
      </c>
    </row>
    <row r="11" spans="1:4" x14ac:dyDescent="0.3">
      <c r="A11" s="3" t="s">
        <v>47</v>
      </c>
      <c r="B11" s="5">
        <v>1.6</v>
      </c>
    </row>
    <row r="12" spans="1:4" x14ac:dyDescent="0.3">
      <c r="A12" s="3" t="s">
        <v>53</v>
      </c>
      <c r="B12" s="5">
        <v>0.95</v>
      </c>
    </row>
    <row r="13" spans="1:4" x14ac:dyDescent="0.3">
      <c r="A13" s="3" t="s">
        <v>52</v>
      </c>
      <c r="B13" s="5">
        <v>0.75</v>
      </c>
    </row>
    <row r="15" spans="1:4" x14ac:dyDescent="0.3">
      <c r="A15" t="s">
        <v>59</v>
      </c>
    </row>
    <row r="16" spans="1:4" x14ac:dyDescent="0.3">
      <c r="A16" t="s">
        <v>60</v>
      </c>
    </row>
    <row r="18" spans="1:10" x14ac:dyDescent="0.3">
      <c r="A18" s="1" t="s">
        <v>33</v>
      </c>
      <c r="B18" s="1" t="s">
        <v>35</v>
      </c>
      <c r="C18" s="1" t="s">
        <v>36</v>
      </c>
      <c r="D18" s="1" t="s">
        <v>37</v>
      </c>
      <c r="E18" s="1" t="s">
        <v>38</v>
      </c>
      <c r="F18" s="1" t="s">
        <v>39</v>
      </c>
      <c r="G18" s="1" t="s">
        <v>40</v>
      </c>
      <c r="H18" s="1" t="s">
        <v>41</v>
      </c>
      <c r="I18" s="1" t="s">
        <v>42</v>
      </c>
      <c r="J18" s="1" t="s">
        <v>43</v>
      </c>
    </row>
    <row r="19" spans="1:10" x14ac:dyDescent="0.3">
      <c r="A19" s="3" t="s">
        <v>45</v>
      </c>
      <c r="B19" s="6">
        <v>23</v>
      </c>
      <c r="C19" s="6">
        <v>18</v>
      </c>
      <c r="D19" s="6">
        <v>11</v>
      </c>
      <c r="E19" s="6">
        <v>17</v>
      </c>
      <c r="F19" s="6">
        <v>27</v>
      </c>
      <c r="G19" s="6">
        <v>33</v>
      </c>
      <c r="H19" s="7">
        <f t="shared" ref="H19:H28" si="0">SUM(B19:G19)</f>
        <v>129</v>
      </c>
      <c r="I19" s="8">
        <f t="shared" ref="I19:I28" si="1">VLOOKUP(A19,$A$3:$B$13,2,0)</f>
        <v>1.95</v>
      </c>
      <c r="J19" s="8">
        <f t="shared" ref="J19:J28" si="2">H19*I19</f>
        <v>251.54999999999998</v>
      </c>
    </row>
    <row r="20" spans="1:10" x14ac:dyDescent="0.3">
      <c r="A20" s="3" t="s">
        <v>47</v>
      </c>
      <c r="B20" s="6">
        <v>18</v>
      </c>
      <c r="C20" s="6">
        <v>25</v>
      </c>
      <c r="D20" s="6">
        <v>28</v>
      </c>
      <c r="E20" s="6">
        <v>33</v>
      </c>
      <c r="F20" s="6">
        <v>29</v>
      </c>
      <c r="G20" s="6">
        <v>44</v>
      </c>
      <c r="H20" s="7">
        <f t="shared" si="0"/>
        <v>177</v>
      </c>
      <c r="I20" s="8">
        <f t="shared" si="1"/>
        <v>1.6</v>
      </c>
      <c r="J20" s="8">
        <f t="shared" si="2"/>
        <v>283.2</v>
      </c>
    </row>
    <row r="21" spans="1:10" x14ac:dyDescent="0.3">
      <c r="A21" s="3" t="s">
        <v>49</v>
      </c>
      <c r="B21" s="6">
        <v>10</v>
      </c>
      <c r="C21" s="6">
        <v>13</v>
      </c>
      <c r="D21" s="6">
        <v>15</v>
      </c>
      <c r="E21" s="6">
        <v>9</v>
      </c>
      <c r="F21" s="6">
        <v>5</v>
      </c>
      <c r="G21" s="6">
        <v>11</v>
      </c>
      <c r="H21" s="7">
        <f t="shared" si="0"/>
        <v>63</v>
      </c>
      <c r="I21" s="8">
        <f t="shared" si="1"/>
        <v>2.2000000000000002</v>
      </c>
      <c r="J21" s="8">
        <f t="shared" si="2"/>
        <v>138.60000000000002</v>
      </c>
    </row>
    <row r="22" spans="1:10" x14ac:dyDescent="0.3">
      <c r="A22" s="3" t="s">
        <v>44</v>
      </c>
      <c r="B22" s="6">
        <v>40</v>
      </c>
      <c r="C22" s="6">
        <v>35</v>
      </c>
      <c r="D22" s="6">
        <v>28</v>
      </c>
      <c r="E22" s="6">
        <v>39</v>
      </c>
      <c r="F22" s="6">
        <v>42</v>
      </c>
      <c r="G22" s="6">
        <v>56</v>
      </c>
      <c r="H22" s="7">
        <f t="shared" si="0"/>
        <v>240</v>
      </c>
      <c r="I22" s="8">
        <f t="shared" si="1"/>
        <v>0.85</v>
      </c>
      <c r="J22" s="8">
        <f t="shared" si="2"/>
        <v>204</v>
      </c>
    </row>
    <row r="23" spans="1:10" x14ac:dyDescent="0.3">
      <c r="A23" s="3" t="s">
        <v>50</v>
      </c>
      <c r="B23" s="6">
        <v>14</v>
      </c>
      <c r="C23" s="6">
        <v>17</v>
      </c>
      <c r="D23" s="6">
        <v>12</v>
      </c>
      <c r="E23" s="6">
        <v>8</v>
      </c>
      <c r="F23" s="6">
        <v>19</v>
      </c>
      <c r="G23" s="6">
        <v>29</v>
      </c>
      <c r="H23" s="7">
        <f t="shared" si="0"/>
        <v>99</v>
      </c>
      <c r="I23" s="8">
        <f t="shared" si="1"/>
        <v>1.05</v>
      </c>
      <c r="J23" s="8">
        <f t="shared" si="2"/>
        <v>103.95</v>
      </c>
    </row>
    <row r="24" spans="1:10" x14ac:dyDescent="0.3">
      <c r="A24" s="3" t="s">
        <v>52</v>
      </c>
      <c r="B24" s="6">
        <v>12</v>
      </c>
      <c r="C24" s="6">
        <v>13</v>
      </c>
      <c r="D24" s="6">
        <v>15</v>
      </c>
      <c r="E24" s="6">
        <v>17</v>
      </c>
      <c r="F24" s="6">
        <v>11</v>
      </c>
      <c r="G24" s="6">
        <v>19</v>
      </c>
      <c r="H24" s="7">
        <f t="shared" si="0"/>
        <v>87</v>
      </c>
      <c r="I24" s="8">
        <f t="shared" si="1"/>
        <v>0.75</v>
      </c>
      <c r="J24" s="8">
        <f t="shared" si="2"/>
        <v>65.25</v>
      </c>
    </row>
    <row r="25" spans="1:10" x14ac:dyDescent="0.3">
      <c r="A25" s="3" t="s">
        <v>53</v>
      </c>
      <c r="B25" s="6">
        <v>25</v>
      </c>
      <c r="C25" s="6">
        <v>28</v>
      </c>
      <c r="D25" s="6">
        <v>32</v>
      </c>
      <c r="E25" s="6">
        <v>24</v>
      </c>
      <c r="F25" s="6">
        <v>26</v>
      </c>
      <c r="G25" s="6">
        <v>27</v>
      </c>
      <c r="H25" s="7">
        <f t="shared" si="0"/>
        <v>162</v>
      </c>
      <c r="I25" s="8">
        <f t="shared" si="1"/>
        <v>0.95</v>
      </c>
      <c r="J25" s="8">
        <f t="shared" si="2"/>
        <v>153.9</v>
      </c>
    </row>
    <row r="26" spans="1:10" x14ac:dyDescent="0.3">
      <c r="A26" s="3" t="s">
        <v>46</v>
      </c>
      <c r="B26" s="6">
        <v>48</v>
      </c>
      <c r="C26" s="6">
        <v>43</v>
      </c>
      <c r="D26" s="6">
        <v>40</v>
      </c>
      <c r="E26" s="6">
        <v>47</v>
      </c>
      <c r="F26" s="6">
        <v>51</v>
      </c>
      <c r="G26" s="6">
        <v>63</v>
      </c>
      <c r="H26" s="7">
        <f t="shared" si="0"/>
        <v>292</v>
      </c>
      <c r="I26" s="8">
        <f t="shared" si="1"/>
        <v>0.5</v>
      </c>
      <c r="J26" s="8">
        <f t="shared" si="2"/>
        <v>146</v>
      </c>
    </row>
    <row r="27" spans="1:10" x14ac:dyDescent="0.3">
      <c r="A27" s="3" t="s">
        <v>48</v>
      </c>
      <c r="B27" s="6">
        <v>22</v>
      </c>
      <c r="C27" s="6">
        <v>19</v>
      </c>
      <c r="D27" s="6">
        <v>23</v>
      </c>
      <c r="E27" s="6">
        <v>27</v>
      </c>
      <c r="F27" s="6">
        <v>21</v>
      </c>
      <c r="G27" s="6">
        <v>25</v>
      </c>
      <c r="H27" s="7">
        <f t="shared" si="0"/>
        <v>137</v>
      </c>
      <c r="I27" s="8">
        <f t="shared" si="1"/>
        <v>1.3</v>
      </c>
      <c r="J27" s="8">
        <f t="shared" si="2"/>
        <v>178.1</v>
      </c>
    </row>
    <row r="28" spans="1:10" x14ac:dyDescent="0.3">
      <c r="A28" s="3" t="s">
        <v>51</v>
      </c>
      <c r="B28" s="6">
        <v>20</v>
      </c>
      <c r="C28" s="6">
        <v>18</v>
      </c>
      <c r="D28" s="6">
        <v>22</v>
      </c>
      <c r="E28" s="6">
        <v>16</v>
      </c>
      <c r="F28" s="6">
        <v>14</v>
      </c>
      <c r="G28" s="6">
        <v>20</v>
      </c>
      <c r="H28" s="7">
        <f t="shared" si="0"/>
        <v>110</v>
      </c>
      <c r="I28" s="8">
        <f t="shared" si="1"/>
        <v>1.75</v>
      </c>
      <c r="J28" s="8">
        <f t="shared" si="2"/>
        <v>192.5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90D11-1F25-435C-BE91-BA9AF371EC20}">
  <dimension ref="A3:I12"/>
  <sheetViews>
    <sheetView workbookViewId="0">
      <selection activeCell="I22" sqref="I22"/>
    </sheetView>
  </sheetViews>
  <sheetFormatPr defaultRowHeight="14.4" x14ac:dyDescent="0.3"/>
  <cols>
    <col min="5" max="5" width="11.77734375" customWidth="1"/>
    <col min="9" max="9" width="13.5546875" customWidth="1"/>
  </cols>
  <sheetData>
    <row r="3" spans="1:9" x14ac:dyDescent="0.3">
      <c r="A3" s="12" t="s">
        <v>0</v>
      </c>
      <c r="B3" s="13" t="s">
        <v>4</v>
      </c>
      <c r="C3" s="13" t="s">
        <v>9</v>
      </c>
      <c r="D3" s="13" t="s">
        <v>14</v>
      </c>
      <c r="E3" s="13" t="s">
        <v>18</v>
      </c>
      <c r="F3" s="13" t="s">
        <v>8</v>
      </c>
      <c r="G3" s="13" t="s">
        <v>26</v>
      </c>
      <c r="H3" s="13" t="s">
        <v>25</v>
      </c>
      <c r="I3" s="13" t="s">
        <v>13</v>
      </c>
    </row>
    <row r="4" spans="1:9" x14ac:dyDescent="0.3">
      <c r="A4" s="14" t="s">
        <v>1</v>
      </c>
      <c r="B4" s="15" t="s">
        <v>5</v>
      </c>
      <c r="C4" s="15" t="s">
        <v>10</v>
      </c>
      <c r="D4" s="15" t="s">
        <v>15</v>
      </c>
      <c r="E4" s="15" t="s">
        <v>19</v>
      </c>
      <c r="F4" s="15" t="s">
        <v>22</v>
      </c>
      <c r="G4" s="15" t="s">
        <v>27</v>
      </c>
      <c r="H4" s="15" t="s">
        <v>30</v>
      </c>
      <c r="I4" s="15" t="s">
        <v>10</v>
      </c>
    </row>
    <row r="5" spans="1:9" x14ac:dyDescent="0.3">
      <c r="A5" s="14" t="s">
        <v>2</v>
      </c>
      <c r="B5" s="15" t="s">
        <v>6</v>
      </c>
      <c r="C5" s="15" t="s">
        <v>11</v>
      </c>
      <c r="D5" s="15" t="s">
        <v>16</v>
      </c>
      <c r="E5" s="15" t="s">
        <v>20</v>
      </c>
      <c r="F5" s="15" t="s">
        <v>23</v>
      </c>
      <c r="G5" s="15" t="s">
        <v>28</v>
      </c>
      <c r="H5" s="15" t="s">
        <v>6</v>
      </c>
      <c r="I5" s="15" t="s">
        <v>20</v>
      </c>
    </row>
    <row r="6" spans="1:9" x14ac:dyDescent="0.3">
      <c r="A6" s="14" t="s">
        <v>3</v>
      </c>
      <c r="B6" s="15">
        <v>5446578</v>
      </c>
      <c r="C6" s="15">
        <v>6634554</v>
      </c>
      <c r="D6" s="15">
        <v>2234567</v>
      </c>
      <c r="E6" s="15">
        <v>3365124</v>
      </c>
      <c r="F6" s="15">
        <v>5561243</v>
      </c>
      <c r="G6" s="15">
        <v>5692039</v>
      </c>
      <c r="H6" s="15">
        <v>4559300</v>
      </c>
      <c r="I6" s="15">
        <v>4954959</v>
      </c>
    </row>
    <row r="9" spans="1:9" x14ac:dyDescent="0.3">
      <c r="A9" s="9" t="s">
        <v>0</v>
      </c>
      <c r="B9" s="9" t="s">
        <v>9</v>
      </c>
      <c r="C9" s="9" t="s">
        <v>8</v>
      </c>
      <c r="D9" s="9" t="s">
        <v>4</v>
      </c>
      <c r="E9" s="9" t="s">
        <v>13</v>
      </c>
    </row>
    <row r="10" spans="1:9" x14ac:dyDescent="0.3">
      <c r="A10" s="10" t="s">
        <v>1</v>
      </c>
      <c r="B10" s="11" t="str">
        <f>HLOOKUP(B9,$A$3:$I$6,2,0)</f>
        <v>Kiran</v>
      </c>
      <c r="C10" s="11" t="str">
        <f>HLOOKUP(C9,$A$3:$I$6,2,0)</f>
        <v>Deepa</v>
      </c>
      <c r="D10" s="11" t="str">
        <f>HLOOKUP(D9,$A$3:$I$6,2,0)</f>
        <v>Anand</v>
      </c>
      <c r="E10" s="11" t="str">
        <f>HLOOKUP(E9,$A$3:$I$6,2,0)</f>
        <v>Kiran</v>
      </c>
    </row>
    <row r="11" spans="1:9" x14ac:dyDescent="0.3">
      <c r="A11" s="10" t="s">
        <v>2</v>
      </c>
      <c r="B11" s="11" t="str">
        <f>HLOOKUP(B9,$A$3:$I$6,3,0)</f>
        <v>Jaynagar</v>
      </c>
      <c r="C11" s="11" t="str">
        <f>HLOOKUP(C9,$A$3:$I$6,3,0)</f>
        <v>HAL</v>
      </c>
      <c r="D11" s="11" t="str">
        <f>HLOOKUP(D9,$A$3:$I$6,3,0)</f>
        <v>Domlur</v>
      </c>
      <c r="E11" s="11" t="str">
        <f>HLOOKUP(E9,$A$3:$I$6,3,0)</f>
        <v>Indiranagar</v>
      </c>
    </row>
    <row r="12" spans="1:9" x14ac:dyDescent="0.3">
      <c r="A12" s="10" t="s">
        <v>3</v>
      </c>
      <c r="B12" s="11">
        <f>HLOOKUP(B9,$A$3:$I$6,4,0)</f>
        <v>6634554</v>
      </c>
      <c r="C12" s="11">
        <f>HLOOKUP(C9,$A$3:$I$6,4,0)</f>
        <v>5561243</v>
      </c>
      <c r="D12" s="11">
        <f>HLOOKUP(D9,$A$3:$I$6,4,0)</f>
        <v>5446578</v>
      </c>
      <c r="E12" s="11">
        <f>HLOOKUP(E9,$A$3:$I$6,4,0)</f>
        <v>4954959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 Ex 1</vt:lpstr>
      <vt:lpstr>VLookup Ex 2</vt:lpstr>
      <vt:lpstr>HLookup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Mahato</cp:lastModifiedBy>
  <dcterms:created xsi:type="dcterms:W3CDTF">2026-08-11T14:24:53Z</dcterms:created>
  <dcterms:modified xsi:type="dcterms:W3CDTF">2026-08-11T15:27:45Z</dcterms:modified>
</cp:coreProperties>
</file>