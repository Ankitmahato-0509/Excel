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\Data Science\Data Science\2.Excel\"/>
    </mc:Choice>
  </mc:AlternateContent>
  <xr:revisionPtr revIDLastSave="0" documentId="8_{A0243C4B-4ABD-4379-8479-4B4F2DCAB5D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VLookup Ex 1" sheetId="1" r:id="rId1"/>
    <sheet name="VLookup Ex 2" sheetId="2" r:id="rId2"/>
    <sheet name="HLookup" sheetId="3" r:id="rId3"/>
    <sheet name="XLooku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4" l="1"/>
  <c r="K6" i="4"/>
  <c r="K7" i="4"/>
  <c r="K8" i="4"/>
  <c r="K14" i="4"/>
  <c r="K15" i="4"/>
  <c r="K16" i="4"/>
  <c r="K17" i="4"/>
  <c r="E12" i="3"/>
  <c r="D12" i="3"/>
  <c r="C12" i="3"/>
  <c r="B12" i="3"/>
  <c r="E11" i="3"/>
  <c r="D11" i="3"/>
  <c r="C11" i="3"/>
  <c r="B11" i="3"/>
  <c r="E10" i="3"/>
  <c r="D10" i="3"/>
  <c r="C10" i="3"/>
  <c r="B10" i="3"/>
  <c r="I19" i="2"/>
  <c r="I28" i="2"/>
  <c r="H28" i="2"/>
  <c r="J28" i="2" s="1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H19" i="2"/>
  <c r="B19" i="1"/>
  <c r="B20" i="1"/>
  <c r="B21" i="1"/>
  <c r="B22" i="1"/>
  <c r="B23" i="1"/>
  <c r="B24" i="1"/>
  <c r="B25" i="1"/>
  <c r="B18" i="1"/>
  <c r="C19" i="1"/>
  <c r="C20" i="1"/>
  <c r="C21" i="1"/>
  <c r="C22" i="1"/>
  <c r="C23" i="1"/>
  <c r="C24" i="1"/>
  <c r="C25" i="1"/>
  <c r="C18" i="1"/>
  <c r="D19" i="1"/>
  <c r="D20" i="1"/>
  <c r="D21" i="1"/>
  <c r="D22" i="1"/>
  <c r="D23" i="1"/>
  <c r="D24" i="1"/>
  <c r="D25" i="1"/>
  <c r="D18" i="1"/>
  <c r="J21" i="2" l="1"/>
  <c r="J22" i="2"/>
  <c r="J19" i="2"/>
  <c r="J25" i="2"/>
  <c r="J27" i="2"/>
  <c r="J24" i="2"/>
  <c r="J26" i="2"/>
  <c r="J20" i="2"/>
  <c r="J23" i="2"/>
</calcChain>
</file>

<file path=xl/sharedStrings.xml><?xml version="1.0" encoding="utf-8"?>
<sst xmlns="http://schemas.openxmlformats.org/spreadsheetml/2006/main" count="269" uniqueCount="190">
  <si>
    <t>EmpNo</t>
  </si>
  <si>
    <t>Name</t>
  </si>
  <si>
    <t>Address</t>
  </si>
  <si>
    <t>Phone</t>
  </si>
  <si>
    <t>E001</t>
  </si>
  <si>
    <t>Anand</t>
  </si>
  <si>
    <t>Domlur</t>
  </si>
  <si>
    <t>5446578</t>
  </si>
  <si>
    <t>E005</t>
  </si>
  <si>
    <t>E002</t>
  </si>
  <si>
    <t>Kiran</t>
  </si>
  <si>
    <t>Jaynagar</t>
  </si>
  <si>
    <t>6634554</t>
  </si>
  <si>
    <t>E008</t>
  </si>
  <si>
    <t>E003</t>
  </si>
  <si>
    <t>Amit</t>
  </si>
  <si>
    <t>Richmond</t>
  </si>
  <si>
    <t>2234567</t>
  </si>
  <si>
    <t>E004</t>
  </si>
  <si>
    <t>Hema</t>
  </si>
  <si>
    <t>Indiranagar</t>
  </si>
  <si>
    <t>3365124</t>
  </si>
  <si>
    <t>Deepa</t>
  </si>
  <si>
    <t>HAL</t>
  </si>
  <si>
    <t>5561243</t>
  </si>
  <si>
    <t>E007</t>
  </si>
  <si>
    <t>E006</t>
  </si>
  <si>
    <t>Raj</t>
  </si>
  <si>
    <t>RT Nagar</t>
  </si>
  <si>
    <t>5692039</t>
  </si>
  <si>
    <t>Harish</t>
  </si>
  <si>
    <t>4559300</t>
  </si>
  <si>
    <t>4954959</t>
  </si>
  <si>
    <t>Items</t>
  </si>
  <si>
    <t>Price ($)</t>
  </si>
  <si>
    <t>Mon</t>
  </si>
  <si>
    <t>Tue</t>
  </si>
  <si>
    <t>Wed</t>
  </si>
  <si>
    <t>Thur</t>
  </si>
  <si>
    <t>Fri</t>
  </si>
  <si>
    <t>Sat</t>
  </si>
  <si>
    <t>Total Sales</t>
  </si>
  <si>
    <t>Price</t>
  </si>
  <si>
    <t>Total Income</t>
  </si>
  <si>
    <t>Burgers</t>
  </si>
  <si>
    <t>Lasange</t>
  </si>
  <si>
    <t>Chips</t>
  </si>
  <si>
    <t>Salads</t>
  </si>
  <si>
    <t>Fish</t>
  </si>
  <si>
    <t>Quiche</t>
  </si>
  <si>
    <t>Pies</t>
  </si>
  <si>
    <t>Pizzas</t>
  </si>
  <si>
    <t>Soup</t>
  </si>
  <si>
    <t>Sandwiches</t>
  </si>
  <si>
    <t>EXERCISE 2</t>
  </si>
  <si>
    <t>EXERCISE 1</t>
  </si>
  <si>
    <t xml:space="preserve">Name </t>
  </si>
  <si>
    <t xml:space="preserve">Address </t>
  </si>
  <si>
    <t xml:space="preserve">Phone </t>
  </si>
  <si>
    <t>1. Calculate total sales of each item over the six days.</t>
  </si>
  <si>
    <t>2. Show the total income for the sales of each item during the six-day period.</t>
  </si>
  <si>
    <t>555-0118</t>
  </si>
  <si>
    <t>isabella.reed@acme.com</t>
  </si>
  <si>
    <t>San Diego</t>
  </si>
  <si>
    <t>Product</t>
  </si>
  <si>
    <t>Product Manager</t>
  </si>
  <si>
    <t>Isabella</t>
  </si>
  <si>
    <t>AC0018</t>
  </si>
  <si>
    <t>555-0117</t>
  </si>
  <si>
    <t>lucas.quinn@acme.com</t>
  </si>
  <si>
    <t>Philadelphia</t>
  </si>
  <si>
    <t>Research</t>
  </si>
  <si>
    <t>Research Associate</t>
  </si>
  <si>
    <t>Lucas</t>
  </si>
  <si>
    <t>AC0017</t>
  </si>
  <si>
    <t>555-0116</t>
  </si>
  <si>
    <t>richard.function@acme.com</t>
  </si>
  <si>
    <t>Research Analyst</t>
  </si>
  <si>
    <t>Richard</t>
  </si>
  <si>
    <t>AC0016</t>
  </si>
  <si>
    <t>555-0115</t>
  </si>
  <si>
    <t>ava.parker@acme.com</t>
  </si>
  <si>
    <t>Washington, DC</t>
  </si>
  <si>
    <t>Legal</t>
  </si>
  <si>
    <t>Legal Counsel</t>
  </si>
  <si>
    <t>Ava</t>
  </si>
  <si>
    <t>AC0015</t>
  </si>
  <si>
    <t>555-0114</t>
  </si>
  <si>
    <t>henry.owens@acme.com</t>
  </si>
  <si>
    <t>Nashville</t>
  </si>
  <si>
    <t>Operations</t>
  </si>
  <si>
    <t>Operations Coordinator</t>
  </si>
  <si>
    <t>Henry</t>
  </si>
  <si>
    <t>AC0014</t>
  </si>
  <si>
    <t>555-0113</t>
  </si>
  <si>
    <t>ella.nelson@acme.com</t>
  </si>
  <si>
    <t>Portland</t>
  </si>
  <si>
    <t>Customer Success</t>
  </si>
  <si>
    <t>Customer Success Manager</t>
  </si>
  <si>
    <t>Ella</t>
  </si>
  <si>
    <t>AC0013</t>
  </si>
  <si>
    <t>Email</t>
  </si>
  <si>
    <t>555-0112</t>
  </si>
  <si>
    <t>william.martin@acme.com</t>
  </si>
  <si>
    <t>Miami</t>
  </si>
  <si>
    <t>Human Resources</t>
  </si>
  <si>
    <t>Recruiter</t>
  </si>
  <si>
    <t>William</t>
  </si>
  <si>
    <t>AC0012</t>
  </si>
  <si>
    <t>Department</t>
  </si>
  <si>
    <t>555-0111</t>
  </si>
  <si>
    <t>grace.lee@acme.com</t>
  </si>
  <si>
    <t>Los Angeles</t>
  </si>
  <si>
    <t>Marketing</t>
  </si>
  <si>
    <t>Content Strategist</t>
  </si>
  <si>
    <t>Grace</t>
  </si>
  <si>
    <t>AC0011</t>
  </si>
  <si>
    <t>Job Title</t>
  </si>
  <si>
    <t>555-0110</t>
  </si>
  <si>
    <t>robert.king@acme.com</t>
  </si>
  <si>
    <t>Phoenix</t>
  </si>
  <si>
    <t>Business Analyst</t>
  </si>
  <si>
    <t>Robert</t>
  </si>
  <si>
    <t>AC0010</t>
  </si>
  <si>
    <t>555-0109</t>
  </si>
  <si>
    <t>mia.johnson@acme.com</t>
  </si>
  <si>
    <t>Atlanta</t>
  </si>
  <si>
    <t>Technology</t>
  </si>
  <si>
    <t>Data Analyst</t>
  </si>
  <si>
    <t>Mia</t>
  </si>
  <si>
    <t>AC0009</t>
  </si>
  <si>
    <t>Emp ID</t>
  </si>
  <si>
    <t>555-0108</t>
  </si>
  <si>
    <t>daniel.irwin@acme.com</t>
  </si>
  <si>
    <t>Dallas</t>
  </si>
  <si>
    <t>Finance</t>
  </si>
  <si>
    <t>Accountant</t>
  </si>
  <si>
    <t>Daniel</t>
  </si>
  <si>
    <t>AC0008</t>
  </si>
  <si>
    <t>Value</t>
  </si>
  <si>
    <t>Look up by Emp ID</t>
  </si>
  <si>
    <t>555-0107</t>
  </si>
  <si>
    <t>sophia.harris@acme.com</t>
  </si>
  <si>
    <t>San Francisco</t>
  </si>
  <si>
    <t>UX Designer</t>
  </si>
  <si>
    <t>Sophia</t>
  </si>
  <si>
    <t>AC0007</t>
  </si>
  <si>
    <t>555-0106</t>
  </si>
  <si>
    <t>michael.garcia@acme.com</t>
  </si>
  <si>
    <t>Denver</t>
  </si>
  <si>
    <t>Sales</t>
  </si>
  <si>
    <t>Sales Executive</t>
  </si>
  <si>
    <t>Michael</t>
  </si>
  <si>
    <t>AC0006</t>
  </si>
  <si>
    <t>555-0105</t>
  </si>
  <si>
    <t>olivia.foster@acme.com</t>
  </si>
  <si>
    <t>Austin</t>
  </si>
  <si>
    <t>Project Manager</t>
  </si>
  <si>
    <t>Olivia</t>
  </si>
  <si>
    <t>AC0005</t>
  </si>
  <si>
    <t>555-0104</t>
  </si>
  <si>
    <t>james.evans@acme.com</t>
  </si>
  <si>
    <t>Seattle</t>
  </si>
  <si>
    <t>HR Specialist</t>
  </si>
  <si>
    <t>James</t>
  </si>
  <si>
    <t>AC0004</t>
  </si>
  <si>
    <t>Location</t>
  </si>
  <si>
    <t>555-0103</t>
  </si>
  <si>
    <t>emily.davis@acme.com</t>
  </si>
  <si>
    <t>Boston</t>
  </si>
  <si>
    <t>Marketing Manager</t>
  </si>
  <si>
    <t>Emily</t>
  </si>
  <si>
    <t>AC0003</t>
  </si>
  <si>
    <t>555-0102</t>
  </si>
  <si>
    <t>david.carter@acme.com</t>
  </si>
  <si>
    <t>Chicago</t>
  </si>
  <si>
    <t>Software Engineer</t>
  </si>
  <si>
    <t>David</t>
  </si>
  <si>
    <t>AC0002</t>
  </si>
  <si>
    <t>555-0101</t>
  </si>
  <si>
    <t>anna.bell@acme.com</t>
  </si>
  <si>
    <t>New York</t>
  </si>
  <si>
    <t>Financial Analyst</t>
  </si>
  <si>
    <t>Anna</t>
  </si>
  <si>
    <t>AC0001</t>
  </si>
  <si>
    <t>Phone No</t>
  </si>
  <si>
    <t xml:space="preserve">Location </t>
  </si>
  <si>
    <t xml:space="preserve">Department </t>
  </si>
  <si>
    <t>EmpID</t>
  </si>
  <si>
    <t>Look up by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</si>
</sst>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rlito"/>
    </font>
    <font>
      <sz val="11"/>
      <color rgb="FF1F1F1F"/>
      <name val="Carlito"/>
    </font>
    <font>
      <b/>
      <sz val="11"/>
      <color rgb="FF1F1F1F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EFF6FF"/>
        <bgColor rgb="FFEFF6FF"/>
      </patternFill>
    </fill>
    <fill>
      <patternFill patternType="solid">
        <fgColor theme="2" tint="-0.249977111117893"/>
        <bgColor rgb="FF1B365D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3" fontId="1" fillId="0" borderId="1" xfId="0" applyNumberFormat="1" applyFont="1" applyBorder="1" applyAlignment="1">
      <alignment horizontal="right" vertical="center"/>
    </xf>
    <xf numFmtId="3" fontId="0" fillId="2" borderId="1" xfId="0" applyNumberFormat="1" applyFill="1" applyBorder="1"/>
    <xf numFmtId="164" fontId="0" fillId="2" borderId="1" xfId="0" applyNumberFormat="1" applyFill="1" applyBorder="1"/>
    <xf numFmtId="0" fontId="5" fillId="6" borderId="2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7" fillId="8" borderId="3" xfId="0" applyFont="1" applyFill="1" applyBorder="1"/>
    <xf numFmtId="0" fontId="7" fillId="8" borderId="1" xfId="0" applyFont="1" applyFill="1" applyBorder="1"/>
    <xf numFmtId="0" fontId="8" fillId="9" borderId="4" xfId="0" applyFont="1" applyFill="1" applyBorder="1"/>
    <xf numFmtId="0" fontId="9" fillId="10" borderId="4" xfId="0" applyFont="1" applyFill="1" applyBorder="1"/>
    <xf numFmtId="0" fontId="9" fillId="11" borderId="4" xfId="0" applyFont="1" applyFill="1" applyBorder="1" applyAlignment="1">
      <alignment horizontal="left"/>
    </xf>
    <xf numFmtId="0" fontId="10" fillId="12" borderId="4" xfId="0" applyFont="1" applyFill="1" applyBorder="1" applyAlignment="1">
      <alignment horizontal="center"/>
    </xf>
    <xf numFmtId="0" fontId="7" fillId="8" borderId="5" xfId="0" applyFont="1" applyFill="1" applyBorder="1"/>
    <xf numFmtId="0" fontId="0" fillId="13" borderId="0" xfId="0" applyFill="1"/>
    <xf numFmtId="0" fontId="4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3</xdr:row>
      <xdr:rowOff>137160</xdr:rowOff>
    </xdr:from>
    <xdr:to>
      <xdr:col>8</xdr:col>
      <xdr:colOff>708660</xdr:colOff>
      <xdr:row>10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868DA16-092C-296C-B82C-430100DD0200}"/>
            </a:ext>
          </a:extLst>
        </xdr:cNvPr>
        <xdr:cNvSpPr txBox="1"/>
      </xdr:nvSpPr>
      <xdr:spPr>
        <a:xfrm>
          <a:off x="4983480" y="716280"/>
          <a:ext cx="3406140" cy="11658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 b="1">
              <a:solidFill>
                <a:srgbClr val="FF0000"/>
              </a:solidFill>
            </a:rPr>
            <a:t>Vlookup</a:t>
          </a:r>
          <a:endParaRPr lang="en-IN" sz="1100" b="1">
            <a:solidFill>
              <a:schemeClr val="dk1"/>
            </a:solidFill>
          </a:endParaRPr>
        </a:p>
        <a:p>
          <a:endParaRPr lang="en-IN" sz="1100" b="1">
            <a:solidFill>
              <a:schemeClr val="dk1"/>
            </a:solidFill>
          </a:endParaRPr>
        </a:p>
        <a:p>
          <a:r>
            <a:rPr lang="en-IN" sz="1100" b="1"/>
            <a:t> The VLOOKUP (Vertical lookup) function looks for a value in the</a:t>
          </a:r>
          <a:r>
            <a:rPr lang="en-IN" sz="1100" b="1" baseline="0"/>
            <a:t> </a:t>
          </a:r>
          <a:r>
            <a:rPr lang="en-IN" sz="1100" b="1"/>
            <a:t>leftmost column of a table, and then returns a value in the same row from another column you specify.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G16" sqref="G16"/>
    </sheetView>
  </sheetViews>
  <sheetFormatPr defaultRowHeight="14.4"/>
  <cols>
    <col min="1" max="2" width="14" customWidth="1"/>
    <col min="3" max="3" width="16" customWidth="1"/>
    <col min="4" max="4" width="14" customWidth="1"/>
    <col min="5" max="5" width="6" customWidth="1"/>
    <col min="6" max="6" width="12" customWidth="1"/>
    <col min="7" max="9" width="18" customWidth="1"/>
    <col min="10" max="10" width="10" customWidth="1"/>
    <col min="11" max="11" width="14" customWidth="1"/>
    <col min="12" max="12" width="12" customWidth="1"/>
    <col min="13" max="13" width="15" customWidth="1"/>
  </cols>
  <sheetData>
    <row r="1" spans="1:4" ht="16.8" customHeight="1"/>
    <row r="4" spans="1:4" ht="16.2" customHeight="1">
      <c r="A4" s="1" t="s">
        <v>0</v>
      </c>
      <c r="B4" s="1" t="s">
        <v>1</v>
      </c>
      <c r="C4" s="1" t="s">
        <v>2</v>
      </c>
      <c r="D4" s="1" t="s">
        <v>3</v>
      </c>
    </row>
    <row r="5" spans="1:4">
      <c r="A5" s="2" t="s">
        <v>4</v>
      </c>
      <c r="B5" s="3" t="s">
        <v>5</v>
      </c>
      <c r="C5" s="3" t="s">
        <v>6</v>
      </c>
      <c r="D5" s="3" t="s">
        <v>7</v>
      </c>
    </row>
    <row r="6" spans="1:4">
      <c r="A6" s="2" t="s">
        <v>9</v>
      </c>
      <c r="B6" s="3" t="s">
        <v>10</v>
      </c>
      <c r="C6" s="3" t="s">
        <v>11</v>
      </c>
      <c r="D6" s="3" t="s">
        <v>12</v>
      </c>
    </row>
    <row r="7" spans="1:4">
      <c r="A7" s="2" t="s">
        <v>14</v>
      </c>
      <c r="B7" s="3" t="s">
        <v>15</v>
      </c>
      <c r="C7" s="3" t="s">
        <v>16</v>
      </c>
      <c r="D7" s="3" t="s">
        <v>17</v>
      </c>
    </row>
    <row r="8" spans="1:4">
      <c r="A8" s="2" t="s">
        <v>18</v>
      </c>
      <c r="B8" s="3" t="s">
        <v>19</v>
      </c>
      <c r="C8" s="3" t="s">
        <v>20</v>
      </c>
      <c r="D8" s="3" t="s">
        <v>21</v>
      </c>
    </row>
    <row r="9" spans="1:4">
      <c r="A9" s="2" t="s">
        <v>8</v>
      </c>
      <c r="B9" s="3" t="s">
        <v>22</v>
      </c>
      <c r="C9" s="3" t="s">
        <v>23</v>
      </c>
      <c r="D9" s="3" t="s">
        <v>24</v>
      </c>
    </row>
    <row r="10" spans="1:4">
      <c r="A10" s="2" t="s">
        <v>26</v>
      </c>
      <c r="B10" s="3" t="s">
        <v>27</v>
      </c>
      <c r="C10" s="3" t="s">
        <v>28</v>
      </c>
      <c r="D10" s="3" t="s">
        <v>29</v>
      </c>
    </row>
    <row r="11" spans="1:4">
      <c r="A11" s="2" t="s">
        <v>25</v>
      </c>
      <c r="B11" s="3" t="s">
        <v>30</v>
      </c>
      <c r="C11" s="3" t="s">
        <v>6</v>
      </c>
      <c r="D11" s="3" t="s">
        <v>31</v>
      </c>
    </row>
    <row r="12" spans="1:4">
      <c r="A12" s="2" t="s">
        <v>13</v>
      </c>
      <c r="B12" s="3" t="s">
        <v>10</v>
      </c>
      <c r="C12" s="3" t="s">
        <v>20</v>
      </c>
      <c r="D12" s="3" t="s">
        <v>32</v>
      </c>
    </row>
    <row r="15" spans="1:4" ht="14.4" customHeight="1">
      <c r="A15" s="25" t="s">
        <v>55</v>
      </c>
      <c r="B15" s="25"/>
      <c r="C15" s="25"/>
      <c r="D15" s="25"/>
    </row>
    <row r="17" spans="1:11" ht="17.399999999999999" customHeight="1">
      <c r="A17" s="1" t="s">
        <v>0</v>
      </c>
      <c r="B17" s="1" t="s">
        <v>56</v>
      </c>
      <c r="C17" s="1" t="s">
        <v>57</v>
      </c>
      <c r="D17" s="1" t="s">
        <v>58</v>
      </c>
    </row>
    <row r="18" spans="1:11">
      <c r="A18" s="2" t="s">
        <v>8</v>
      </c>
      <c r="B18" s="4" t="str">
        <f t="shared" ref="B18:B25" si="0">VLOOKUP(A18,$A$4:$D$12,2,0)</f>
        <v>Deepa</v>
      </c>
      <c r="C18" s="4" t="str">
        <f t="shared" ref="C18:C25" si="1">VLOOKUP(A18,$A$4:$D$12,3,0)</f>
        <v>HAL</v>
      </c>
      <c r="D18" s="4" t="str">
        <f t="shared" ref="D18:D25" si="2">VLOOKUP(A18,$A$4:$D$12,4,0)</f>
        <v>5561243</v>
      </c>
    </row>
    <row r="19" spans="1:11">
      <c r="A19" s="2" t="s">
        <v>13</v>
      </c>
      <c r="B19" s="4" t="str">
        <f t="shared" si="0"/>
        <v>Kiran</v>
      </c>
      <c r="C19" s="4" t="str">
        <f t="shared" si="1"/>
        <v>Indiranagar</v>
      </c>
      <c r="D19" s="4" t="str">
        <f t="shared" si="2"/>
        <v>4954959</v>
      </c>
      <c r="H19" s="24"/>
      <c r="I19" s="24"/>
      <c r="J19" s="24"/>
      <c r="K19" s="24"/>
    </row>
    <row r="20" spans="1:11">
      <c r="A20" s="2" t="s">
        <v>14</v>
      </c>
      <c r="B20" s="4" t="str">
        <f t="shared" si="0"/>
        <v>Amit</v>
      </c>
      <c r="C20" s="4" t="str">
        <f t="shared" si="1"/>
        <v>Richmond</v>
      </c>
      <c r="D20" s="4" t="str">
        <f t="shared" si="2"/>
        <v>2234567</v>
      </c>
    </row>
    <row r="21" spans="1:11">
      <c r="A21" s="2" t="s">
        <v>18</v>
      </c>
      <c r="B21" s="4" t="str">
        <f t="shared" si="0"/>
        <v>Hema</v>
      </c>
      <c r="C21" s="4" t="str">
        <f t="shared" si="1"/>
        <v>Indiranagar</v>
      </c>
      <c r="D21" s="4" t="str">
        <f t="shared" si="2"/>
        <v>3365124</v>
      </c>
    </row>
    <row r="22" spans="1:11">
      <c r="A22" s="2" t="s">
        <v>25</v>
      </c>
      <c r="B22" s="4" t="str">
        <f t="shared" si="0"/>
        <v>Harish</v>
      </c>
      <c r="C22" s="4" t="str">
        <f t="shared" si="1"/>
        <v>Domlur</v>
      </c>
      <c r="D22" s="4" t="str">
        <f t="shared" si="2"/>
        <v>4559300</v>
      </c>
    </row>
    <row r="23" spans="1:11">
      <c r="A23" s="2" t="s">
        <v>26</v>
      </c>
      <c r="B23" s="4" t="str">
        <f t="shared" si="0"/>
        <v>Raj</v>
      </c>
      <c r="C23" s="4" t="str">
        <f t="shared" si="1"/>
        <v>RT Nagar</v>
      </c>
      <c r="D23" s="4" t="str">
        <f t="shared" si="2"/>
        <v>5692039</v>
      </c>
    </row>
    <row r="24" spans="1:11">
      <c r="A24" s="2" t="s">
        <v>4</v>
      </c>
      <c r="B24" s="4" t="str">
        <f t="shared" si="0"/>
        <v>Anand</v>
      </c>
      <c r="C24" s="4" t="str">
        <f t="shared" si="1"/>
        <v>Domlur</v>
      </c>
      <c r="D24" s="4" t="str">
        <f t="shared" si="2"/>
        <v>5446578</v>
      </c>
    </row>
    <row r="25" spans="1:11">
      <c r="A25" s="2" t="s">
        <v>9</v>
      </c>
      <c r="B25" s="4" t="str">
        <f t="shared" si="0"/>
        <v>Kiran</v>
      </c>
      <c r="C25" s="4" t="str">
        <f t="shared" si="1"/>
        <v>Jaynagar</v>
      </c>
      <c r="D25" s="4" t="str">
        <f t="shared" si="2"/>
        <v>6634554</v>
      </c>
    </row>
  </sheetData>
  <mergeCells count="2">
    <mergeCell ref="H19:K19"/>
    <mergeCell ref="A15:D15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39184-6B08-41D1-BDE4-1A2C0AFEBD24}">
  <dimension ref="A1:J28"/>
  <sheetViews>
    <sheetView zoomScale="88" workbookViewId="0">
      <selection activeCell="H9" sqref="H9"/>
    </sheetView>
  </sheetViews>
  <sheetFormatPr defaultRowHeight="14.4"/>
  <cols>
    <col min="1" max="1" width="10.109375" customWidth="1"/>
    <col min="8" max="8" width="12.44140625" customWidth="1"/>
    <col min="10" max="10" width="12" customWidth="1"/>
  </cols>
  <sheetData>
    <row r="1" spans="1:4">
      <c r="A1" s="25" t="s">
        <v>54</v>
      </c>
      <c r="B1" s="25"/>
      <c r="C1" s="25"/>
      <c r="D1" s="25"/>
    </row>
    <row r="3" spans="1:4">
      <c r="A3" s="1" t="s">
        <v>33</v>
      </c>
      <c r="B3" s="1" t="s">
        <v>34</v>
      </c>
    </row>
    <row r="4" spans="1:4">
      <c r="A4" s="3" t="s">
        <v>44</v>
      </c>
      <c r="B4" s="5">
        <v>0.85</v>
      </c>
    </row>
    <row r="5" spans="1:4">
      <c r="A5" s="3" t="s">
        <v>46</v>
      </c>
      <c r="B5" s="5">
        <v>0.5</v>
      </c>
    </row>
    <row r="6" spans="1:4">
      <c r="A6" s="3" t="s">
        <v>48</v>
      </c>
      <c r="B6" s="5">
        <v>1.3</v>
      </c>
    </row>
    <row r="7" spans="1:4">
      <c r="A7" s="3" t="s">
        <v>45</v>
      </c>
      <c r="B7" s="5">
        <v>1.95</v>
      </c>
    </row>
    <row r="8" spans="1:4">
      <c r="A8" s="3" t="s">
        <v>50</v>
      </c>
      <c r="B8" s="5">
        <v>1.05</v>
      </c>
    </row>
    <row r="9" spans="1:4">
      <c r="A9" s="3" t="s">
        <v>51</v>
      </c>
      <c r="B9" s="5">
        <v>1.75</v>
      </c>
    </row>
    <row r="10" spans="1:4">
      <c r="A10" s="3" t="s">
        <v>49</v>
      </c>
      <c r="B10" s="5">
        <v>2.2000000000000002</v>
      </c>
    </row>
    <row r="11" spans="1:4">
      <c r="A11" s="3" t="s">
        <v>47</v>
      </c>
      <c r="B11" s="5">
        <v>1.6</v>
      </c>
    </row>
    <row r="12" spans="1:4">
      <c r="A12" s="3" t="s">
        <v>53</v>
      </c>
      <c r="B12" s="5">
        <v>0.95</v>
      </c>
    </row>
    <row r="13" spans="1:4">
      <c r="A13" s="3" t="s">
        <v>52</v>
      </c>
      <c r="B13" s="5">
        <v>0.75</v>
      </c>
    </row>
    <row r="15" spans="1:4">
      <c r="A15" t="s">
        <v>59</v>
      </c>
    </row>
    <row r="16" spans="1:4">
      <c r="A16" t="s">
        <v>60</v>
      </c>
    </row>
    <row r="18" spans="1:10">
      <c r="A18" s="1" t="s">
        <v>33</v>
      </c>
      <c r="B18" s="1" t="s">
        <v>35</v>
      </c>
      <c r="C18" s="1" t="s">
        <v>36</v>
      </c>
      <c r="D18" s="1" t="s">
        <v>37</v>
      </c>
      <c r="E18" s="1" t="s">
        <v>38</v>
      </c>
      <c r="F18" s="1" t="s">
        <v>39</v>
      </c>
      <c r="G18" s="1" t="s">
        <v>40</v>
      </c>
      <c r="H18" s="1" t="s">
        <v>41</v>
      </c>
      <c r="I18" s="1" t="s">
        <v>42</v>
      </c>
      <c r="J18" s="1" t="s">
        <v>43</v>
      </c>
    </row>
    <row r="19" spans="1:10">
      <c r="A19" s="3" t="s">
        <v>45</v>
      </c>
      <c r="B19" s="6">
        <v>23</v>
      </c>
      <c r="C19" s="6">
        <v>18</v>
      </c>
      <c r="D19" s="6">
        <v>11</v>
      </c>
      <c r="E19" s="6">
        <v>17</v>
      </c>
      <c r="F19" s="6">
        <v>27</v>
      </c>
      <c r="G19" s="6">
        <v>33</v>
      </c>
      <c r="H19" s="7">
        <f t="shared" ref="H19:H28" si="0">SUM(B19:G19)</f>
        <v>129</v>
      </c>
      <c r="I19" s="8">
        <f t="shared" ref="I19:I28" si="1">VLOOKUP(A19,$A$3:$B$13,2,0)</f>
        <v>1.95</v>
      </c>
      <c r="J19" s="8">
        <f t="shared" ref="J19:J28" si="2">H19*I19</f>
        <v>251.54999999999998</v>
      </c>
    </row>
    <row r="20" spans="1:10">
      <c r="A20" s="3" t="s">
        <v>47</v>
      </c>
      <c r="B20" s="6">
        <v>18</v>
      </c>
      <c r="C20" s="6">
        <v>25</v>
      </c>
      <c r="D20" s="6">
        <v>28</v>
      </c>
      <c r="E20" s="6">
        <v>33</v>
      </c>
      <c r="F20" s="6">
        <v>29</v>
      </c>
      <c r="G20" s="6">
        <v>44</v>
      </c>
      <c r="H20" s="7">
        <f t="shared" si="0"/>
        <v>177</v>
      </c>
      <c r="I20" s="8">
        <f t="shared" si="1"/>
        <v>1.6</v>
      </c>
      <c r="J20" s="8">
        <f t="shared" si="2"/>
        <v>283.2</v>
      </c>
    </row>
    <row r="21" spans="1:10">
      <c r="A21" s="3" t="s">
        <v>49</v>
      </c>
      <c r="B21" s="6">
        <v>10</v>
      </c>
      <c r="C21" s="6">
        <v>13</v>
      </c>
      <c r="D21" s="6">
        <v>15</v>
      </c>
      <c r="E21" s="6">
        <v>9</v>
      </c>
      <c r="F21" s="6">
        <v>5</v>
      </c>
      <c r="G21" s="6">
        <v>11</v>
      </c>
      <c r="H21" s="7">
        <f t="shared" si="0"/>
        <v>63</v>
      </c>
      <c r="I21" s="8">
        <f t="shared" si="1"/>
        <v>2.2000000000000002</v>
      </c>
      <c r="J21" s="8">
        <f t="shared" si="2"/>
        <v>138.60000000000002</v>
      </c>
    </row>
    <row r="22" spans="1:10">
      <c r="A22" s="3" t="s">
        <v>44</v>
      </c>
      <c r="B22" s="6">
        <v>40</v>
      </c>
      <c r="C22" s="6">
        <v>35</v>
      </c>
      <c r="D22" s="6">
        <v>28</v>
      </c>
      <c r="E22" s="6">
        <v>39</v>
      </c>
      <c r="F22" s="6">
        <v>42</v>
      </c>
      <c r="G22" s="6">
        <v>56</v>
      </c>
      <c r="H22" s="7">
        <f t="shared" si="0"/>
        <v>240</v>
      </c>
      <c r="I22" s="8">
        <f t="shared" si="1"/>
        <v>0.85</v>
      </c>
      <c r="J22" s="8">
        <f t="shared" si="2"/>
        <v>204</v>
      </c>
    </row>
    <row r="23" spans="1:10">
      <c r="A23" s="3" t="s">
        <v>50</v>
      </c>
      <c r="B23" s="6">
        <v>14</v>
      </c>
      <c r="C23" s="6">
        <v>17</v>
      </c>
      <c r="D23" s="6">
        <v>12</v>
      </c>
      <c r="E23" s="6">
        <v>8</v>
      </c>
      <c r="F23" s="6">
        <v>19</v>
      </c>
      <c r="G23" s="6">
        <v>29</v>
      </c>
      <c r="H23" s="7">
        <f t="shared" si="0"/>
        <v>99</v>
      </c>
      <c r="I23" s="8">
        <f t="shared" si="1"/>
        <v>1.05</v>
      </c>
      <c r="J23" s="8">
        <f t="shared" si="2"/>
        <v>103.95</v>
      </c>
    </row>
    <row r="24" spans="1:10">
      <c r="A24" s="3" t="s">
        <v>52</v>
      </c>
      <c r="B24" s="6">
        <v>12</v>
      </c>
      <c r="C24" s="6">
        <v>13</v>
      </c>
      <c r="D24" s="6">
        <v>15</v>
      </c>
      <c r="E24" s="6">
        <v>17</v>
      </c>
      <c r="F24" s="6">
        <v>11</v>
      </c>
      <c r="G24" s="6">
        <v>19</v>
      </c>
      <c r="H24" s="7">
        <f t="shared" si="0"/>
        <v>87</v>
      </c>
      <c r="I24" s="8">
        <f t="shared" si="1"/>
        <v>0.75</v>
      </c>
      <c r="J24" s="8">
        <f t="shared" si="2"/>
        <v>65.25</v>
      </c>
    </row>
    <row r="25" spans="1:10">
      <c r="A25" s="3" t="s">
        <v>53</v>
      </c>
      <c r="B25" s="6">
        <v>25</v>
      </c>
      <c r="C25" s="6">
        <v>28</v>
      </c>
      <c r="D25" s="6">
        <v>32</v>
      </c>
      <c r="E25" s="6">
        <v>24</v>
      </c>
      <c r="F25" s="6">
        <v>26</v>
      </c>
      <c r="G25" s="6">
        <v>27</v>
      </c>
      <c r="H25" s="7">
        <f t="shared" si="0"/>
        <v>162</v>
      </c>
      <c r="I25" s="8">
        <f t="shared" si="1"/>
        <v>0.95</v>
      </c>
      <c r="J25" s="8">
        <f t="shared" si="2"/>
        <v>153.9</v>
      </c>
    </row>
    <row r="26" spans="1:10">
      <c r="A26" s="3" t="s">
        <v>46</v>
      </c>
      <c r="B26" s="6">
        <v>48</v>
      </c>
      <c r="C26" s="6">
        <v>43</v>
      </c>
      <c r="D26" s="6">
        <v>40</v>
      </c>
      <c r="E26" s="6">
        <v>47</v>
      </c>
      <c r="F26" s="6">
        <v>51</v>
      </c>
      <c r="G26" s="6">
        <v>63</v>
      </c>
      <c r="H26" s="7">
        <f t="shared" si="0"/>
        <v>292</v>
      </c>
      <c r="I26" s="8">
        <f t="shared" si="1"/>
        <v>0.5</v>
      </c>
      <c r="J26" s="8">
        <f t="shared" si="2"/>
        <v>146</v>
      </c>
    </row>
    <row r="27" spans="1:10">
      <c r="A27" s="3" t="s">
        <v>48</v>
      </c>
      <c r="B27" s="6">
        <v>22</v>
      </c>
      <c r="C27" s="6">
        <v>19</v>
      </c>
      <c r="D27" s="6">
        <v>23</v>
      </c>
      <c r="E27" s="6">
        <v>27</v>
      </c>
      <c r="F27" s="6">
        <v>21</v>
      </c>
      <c r="G27" s="6">
        <v>25</v>
      </c>
      <c r="H27" s="7">
        <f t="shared" si="0"/>
        <v>137</v>
      </c>
      <c r="I27" s="8">
        <f t="shared" si="1"/>
        <v>1.3</v>
      </c>
      <c r="J27" s="8">
        <f t="shared" si="2"/>
        <v>178.1</v>
      </c>
    </row>
    <row r="28" spans="1:10">
      <c r="A28" s="3" t="s">
        <v>51</v>
      </c>
      <c r="B28" s="6">
        <v>20</v>
      </c>
      <c r="C28" s="6">
        <v>18</v>
      </c>
      <c r="D28" s="6">
        <v>22</v>
      </c>
      <c r="E28" s="6">
        <v>16</v>
      </c>
      <c r="F28" s="6">
        <v>14</v>
      </c>
      <c r="G28" s="6">
        <v>20</v>
      </c>
      <c r="H28" s="7">
        <f t="shared" si="0"/>
        <v>110</v>
      </c>
      <c r="I28" s="8">
        <f t="shared" si="1"/>
        <v>1.75</v>
      </c>
      <c r="J28" s="8">
        <f t="shared" si="2"/>
        <v>192.5</v>
      </c>
    </row>
  </sheetData>
  <mergeCells count="1">
    <mergeCell ref="A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90D11-1F25-435C-BE91-BA9AF371EC20}">
  <dimension ref="A3:I12"/>
  <sheetViews>
    <sheetView tabSelected="1" workbookViewId="0">
      <selection activeCell="M17" sqref="M17"/>
    </sheetView>
  </sheetViews>
  <sheetFormatPr defaultRowHeight="14.4"/>
  <cols>
    <col min="5" max="5" width="11.77734375" customWidth="1"/>
    <col min="9" max="9" width="13.5546875" customWidth="1"/>
  </cols>
  <sheetData>
    <row r="3" spans="1:9">
      <c r="A3" s="12" t="s">
        <v>0</v>
      </c>
      <c r="B3" s="13" t="s">
        <v>4</v>
      </c>
      <c r="C3" s="13" t="s">
        <v>9</v>
      </c>
      <c r="D3" s="13" t="s">
        <v>14</v>
      </c>
      <c r="E3" s="13" t="s">
        <v>18</v>
      </c>
      <c r="F3" s="13" t="s">
        <v>8</v>
      </c>
      <c r="G3" s="13" t="s">
        <v>26</v>
      </c>
      <c r="H3" s="13" t="s">
        <v>25</v>
      </c>
      <c r="I3" s="13" t="s">
        <v>13</v>
      </c>
    </row>
    <row r="4" spans="1:9">
      <c r="A4" s="14" t="s">
        <v>1</v>
      </c>
      <c r="B4" s="15" t="s">
        <v>5</v>
      </c>
      <c r="C4" s="15" t="s">
        <v>10</v>
      </c>
      <c r="D4" s="15" t="s">
        <v>15</v>
      </c>
      <c r="E4" s="15" t="s">
        <v>19</v>
      </c>
      <c r="F4" s="15" t="s">
        <v>22</v>
      </c>
      <c r="G4" s="15" t="s">
        <v>27</v>
      </c>
      <c r="H4" s="15" t="s">
        <v>30</v>
      </c>
      <c r="I4" s="15" t="s">
        <v>10</v>
      </c>
    </row>
    <row r="5" spans="1:9">
      <c r="A5" s="14" t="s">
        <v>2</v>
      </c>
      <c r="B5" s="15" t="s">
        <v>6</v>
      </c>
      <c r="C5" s="15" t="s">
        <v>11</v>
      </c>
      <c r="D5" s="15" t="s">
        <v>16</v>
      </c>
      <c r="E5" s="15" t="s">
        <v>20</v>
      </c>
      <c r="F5" s="15" t="s">
        <v>23</v>
      </c>
      <c r="G5" s="15" t="s">
        <v>28</v>
      </c>
      <c r="H5" s="15" t="s">
        <v>6</v>
      </c>
      <c r="I5" s="15" t="s">
        <v>20</v>
      </c>
    </row>
    <row r="6" spans="1:9">
      <c r="A6" s="14" t="s">
        <v>3</v>
      </c>
      <c r="B6" s="15">
        <v>5446578</v>
      </c>
      <c r="C6" s="15">
        <v>6634554</v>
      </c>
      <c r="D6" s="15">
        <v>2234567</v>
      </c>
      <c r="E6" s="15">
        <v>3365124</v>
      </c>
      <c r="F6" s="15">
        <v>5561243</v>
      </c>
      <c r="G6" s="15">
        <v>5692039</v>
      </c>
      <c r="H6" s="15">
        <v>4559300</v>
      </c>
      <c r="I6" s="15">
        <v>4954959</v>
      </c>
    </row>
    <row r="9" spans="1:9">
      <c r="A9" s="9" t="s">
        <v>0</v>
      </c>
      <c r="B9" s="9" t="s">
        <v>9</v>
      </c>
      <c r="C9" s="9" t="s">
        <v>8</v>
      </c>
      <c r="D9" s="9" t="s">
        <v>4</v>
      </c>
      <c r="E9" s="9" t="s">
        <v>13</v>
      </c>
    </row>
    <row r="10" spans="1:9">
      <c r="A10" s="10" t="s">
        <v>1</v>
      </c>
      <c r="B10" s="11" t="str">
        <f>HLOOKUP(B9,$A$3:$I$6,2,0)</f>
        <v>Kiran</v>
      </c>
      <c r="C10" s="11" t="str">
        <f>HLOOKUP(C9,$A$3:$I$6,2,0)</f>
        <v>Deepa</v>
      </c>
      <c r="D10" s="11" t="str">
        <f>HLOOKUP(D9,$A$3:$I$6,2,0)</f>
        <v>Anand</v>
      </c>
      <c r="E10" s="11" t="str">
        <f>HLOOKUP(E9,$A$3:$I$6,2,0)</f>
        <v>Kiran</v>
      </c>
    </row>
    <row r="11" spans="1:9">
      <c r="A11" s="10" t="s">
        <v>2</v>
      </c>
      <c r="B11" s="11" t="str">
        <f>HLOOKUP(B9,$A$3:$I$6,3,0)</f>
        <v>Jaynagar</v>
      </c>
      <c r="C11" s="11" t="str">
        <f>HLOOKUP(C9,$A$3:$I$6,3,0)</f>
        <v>HAL</v>
      </c>
      <c r="D11" s="11" t="str">
        <f>HLOOKUP(D9,$A$3:$I$6,3,0)</f>
        <v>Domlur</v>
      </c>
      <c r="E11" s="11" t="str">
        <f>HLOOKUP(E9,$A$3:$I$6,3,0)</f>
        <v>Indiranagar</v>
      </c>
    </row>
    <row r="12" spans="1:9">
      <c r="A12" s="10" t="s">
        <v>3</v>
      </c>
      <c r="B12" s="11">
        <f>HLOOKUP(B9,$A$3:$I$6,4,0)</f>
        <v>6634554</v>
      </c>
      <c r="C12" s="11">
        <f>HLOOKUP(C9,$A$3:$I$6,4,0)</f>
        <v>5561243</v>
      </c>
      <c r="D12" s="11">
        <f>HLOOKUP(D9,$A$3:$I$6,4,0)</f>
        <v>5446578</v>
      </c>
      <c r="E12" s="11">
        <f>HLOOKUP(E9,$A$3:$I$6,4,0)</f>
        <v>4954959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DA98-7576-4DF8-A8DC-EB8889E37BD8}">
  <dimension ref="A3:K23"/>
  <sheetViews>
    <sheetView workbookViewId="0">
      <selection activeCell="I11" sqref="I11"/>
    </sheetView>
  </sheetViews>
  <sheetFormatPr defaultRowHeight="14.4"/>
  <cols>
    <col min="1" max="1" width="8.109375" bestFit="1" customWidth="1"/>
    <col min="2" max="2" width="7.88671875" bestFit="1" customWidth="1"/>
    <col min="3" max="3" width="26.44140625" bestFit="1" customWidth="1"/>
    <col min="4" max="4" width="17.77734375" bestFit="1" customWidth="1"/>
    <col min="5" max="5" width="15.6640625" bestFit="1" customWidth="1"/>
    <col min="6" max="6" width="26" bestFit="1" customWidth="1"/>
    <col min="7" max="7" width="9.88671875" bestFit="1" customWidth="1"/>
    <col min="8" max="8" width="9.44140625" bestFit="1" customWidth="1"/>
    <col min="10" max="10" width="19.5546875" bestFit="1" customWidth="1"/>
    <col min="11" max="11" width="26" bestFit="1" customWidth="1"/>
  </cols>
  <sheetData>
    <row r="3" spans="1:11">
      <c r="J3" s="21" t="s">
        <v>189</v>
      </c>
      <c r="K3" s="21" t="s">
        <v>139</v>
      </c>
    </row>
    <row r="4" spans="1:11">
      <c r="J4" s="19" t="s">
        <v>1</v>
      </c>
      <c r="K4" s="20" t="s">
        <v>107</v>
      </c>
    </row>
    <row r="5" spans="1:11">
      <c r="A5" s="23" t="s">
        <v>188</v>
      </c>
      <c r="B5" s="23" t="s">
        <v>1</v>
      </c>
      <c r="C5" s="23" t="s">
        <v>117</v>
      </c>
      <c r="D5" s="23" t="s">
        <v>187</v>
      </c>
      <c r="E5" s="23" t="s">
        <v>186</v>
      </c>
      <c r="F5" s="23" t="s">
        <v>101</v>
      </c>
      <c r="G5" s="23" t="s">
        <v>185</v>
      </c>
      <c r="J5" s="19" t="s">
        <v>185</v>
      </c>
      <c r="K5" s="18" t="str">
        <f>_xlfn.XLOOKUP(K4,B6:B23,G6:G23,"NOT Found")</f>
        <v>555-0112</v>
      </c>
    </row>
    <row r="6" spans="1:11">
      <c r="A6" s="22" t="s">
        <v>184</v>
      </c>
      <c r="B6" s="22" t="s">
        <v>183</v>
      </c>
      <c r="C6" s="22" t="s">
        <v>182</v>
      </c>
      <c r="D6" s="22" t="s">
        <v>135</v>
      </c>
      <c r="E6" s="22" t="s">
        <v>181</v>
      </c>
      <c r="F6" s="22" t="s">
        <v>180</v>
      </c>
      <c r="G6" s="22" t="s">
        <v>179</v>
      </c>
      <c r="J6" s="19" t="s">
        <v>117</v>
      </c>
      <c r="K6" s="18" t="str">
        <f>_xlfn.XLOOKUP(K4,B6:B23,C6:C23,"NOT Found")</f>
        <v>Recruiter</v>
      </c>
    </row>
    <row r="7" spans="1:11">
      <c r="A7" s="17" t="s">
        <v>178</v>
      </c>
      <c r="B7" s="17" t="s">
        <v>177</v>
      </c>
      <c r="C7" s="17" t="s">
        <v>176</v>
      </c>
      <c r="D7" s="17" t="s">
        <v>127</v>
      </c>
      <c r="E7" s="17" t="s">
        <v>175</v>
      </c>
      <c r="F7" s="17" t="s">
        <v>174</v>
      </c>
      <c r="G7" s="17" t="s">
        <v>173</v>
      </c>
      <c r="J7" s="19" t="s">
        <v>109</v>
      </c>
      <c r="K7" s="18" t="str">
        <f>_xlfn.XLOOKUP(K4,B6:B23,D6:D23,"NOT Found")</f>
        <v>Human Resources</v>
      </c>
    </row>
    <row r="8" spans="1:11">
      <c r="A8" s="17" t="s">
        <v>172</v>
      </c>
      <c r="B8" s="17" t="s">
        <v>171</v>
      </c>
      <c r="C8" s="17" t="s">
        <v>170</v>
      </c>
      <c r="D8" s="17" t="s">
        <v>113</v>
      </c>
      <c r="E8" s="17" t="s">
        <v>169</v>
      </c>
      <c r="F8" s="17" t="s">
        <v>168</v>
      </c>
      <c r="G8" s="17" t="s">
        <v>167</v>
      </c>
      <c r="J8" s="19" t="s">
        <v>166</v>
      </c>
      <c r="K8" s="18" t="str">
        <f>_xlfn.XLOOKUP(K4,B6:B23,E6:E23,"NOT Found")</f>
        <v>Miami</v>
      </c>
    </row>
    <row r="9" spans="1:11">
      <c r="A9" s="17" t="s">
        <v>165</v>
      </c>
      <c r="B9" s="17" t="s">
        <v>164</v>
      </c>
      <c r="C9" s="17" t="s">
        <v>163</v>
      </c>
      <c r="D9" s="17" t="s">
        <v>105</v>
      </c>
      <c r="E9" s="17" t="s">
        <v>162</v>
      </c>
      <c r="F9" s="17" t="s">
        <v>161</v>
      </c>
      <c r="G9" s="17" t="s">
        <v>160</v>
      </c>
    </row>
    <row r="10" spans="1:11">
      <c r="A10" s="17" t="s">
        <v>159</v>
      </c>
      <c r="B10" s="17" t="s">
        <v>158</v>
      </c>
      <c r="C10" s="17" t="s">
        <v>157</v>
      </c>
      <c r="D10" s="17" t="s">
        <v>90</v>
      </c>
      <c r="E10" s="17" t="s">
        <v>156</v>
      </c>
      <c r="F10" s="17" t="s">
        <v>155</v>
      </c>
      <c r="G10" s="17" t="s">
        <v>154</v>
      </c>
    </row>
    <row r="11" spans="1:11">
      <c r="A11" s="17" t="s">
        <v>153</v>
      </c>
      <c r="B11" s="17" t="s">
        <v>152</v>
      </c>
      <c r="C11" s="17" t="s">
        <v>151</v>
      </c>
      <c r="D11" s="17" t="s">
        <v>150</v>
      </c>
      <c r="E11" s="17" t="s">
        <v>149</v>
      </c>
      <c r="F11" s="17" t="s">
        <v>148</v>
      </c>
      <c r="G11" s="17" t="s">
        <v>147</v>
      </c>
    </row>
    <row r="12" spans="1:11">
      <c r="A12" s="17" t="s">
        <v>146</v>
      </c>
      <c r="B12" s="17" t="s">
        <v>145</v>
      </c>
      <c r="C12" s="17" t="s">
        <v>144</v>
      </c>
      <c r="D12" s="17" t="s">
        <v>127</v>
      </c>
      <c r="E12" s="17" t="s">
        <v>143</v>
      </c>
      <c r="F12" s="17" t="s">
        <v>142</v>
      </c>
      <c r="G12" s="17" t="s">
        <v>141</v>
      </c>
      <c r="J12" s="21" t="s">
        <v>140</v>
      </c>
      <c r="K12" s="21" t="s">
        <v>139</v>
      </c>
    </row>
    <row r="13" spans="1:11">
      <c r="A13" s="17" t="s">
        <v>138</v>
      </c>
      <c r="B13" s="17" t="s">
        <v>137</v>
      </c>
      <c r="C13" s="17" t="s">
        <v>136</v>
      </c>
      <c r="D13" s="17" t="s">
        <v>135</v>
      </c>
      <c r="E13" s="17" t="s">
        <v>134</v>
      </c>
      <c r="F13" s="17" t="s">
        <v>133</v>
      </c>
      <c r="G13" s="17" t="s">
        <v>132</v>
      </c>
      <c r="J13" s="19" t="s">
        <v>131</v>
      </c>
      <c r="K13" s="20" t="s">
        <v>79</v>
      </c>
    </row>
    <row r="14" spans="1:11">
      <c r="A14" s="17" t="s">
        <v>130</v>
      </c>
      <c r="B14" s="17" t="s">
        <v>129</v>
      </c>
      <c r="C14" s="17" t="s">
        <v>128</v>
      </c>
      <c r="D14" s="17" t="s">
        <v>127</v>
      </c>
      <c r="E14" s="17" t="s">
        <v>126</v>
      </c>
      <c r="F14" s="17" t="s">
        <v>125</v>
      </c>
      <c r="G14" s="17" t="s">
        <v>124</v>
      </c>
      <c r="J14" s="19" t="s">
        <v>1</v>
      </c>
      <c r="K14" s="18" t="str">
        <f>_xlfn.XLOOKUP(K13,A6:A23,B6:B23,"NOT Found")</f>
        <v>Richard</v>
      </c>
    </row>
    <row r="15" spans="1:11">
      <c r="A15" s="17" t="s">
        <v>123</v>
      </c>
      <c r="B15" s="17" t="s">
        <v>122</v>
      </c>
      <c r="C15" s="17" t="s">
        <v>121</v>
      </c>
      <c r="D15" s="17" t="s">
        <v>90</v>
      </c>
      <c r="E15" s="17" t="s">
        <v>120</v>
      </c>
      <c r="F15" s="17" t="s">
        <v>119</v>
      </c>
      <c r="G15" s="17" t="s">
        <v>118</v>
      </c>
      <c r="J15" s="19" t="s">
        <v>117</v>
      </c>
      <c r="K15" s="18" t="str">
        <f>_xlfn.XLOOKUP(K13,A6:A23,C6:C23,"NOT Found")</f>
        <v>Research Analyst</v>
      </c>
    </row>
    <row r="16" spans="1:11">
      <c r="A16" s="17" t="s">
        <v>116</v>
      </c>
      <c r="B16" s="17" t="s">
        <v>115</v>
      </c>
      <c r="C16" s="17" t="s">
        <v>114</v>
      </c>
      <c r="D16" s="17" t="s">
        <v>113</v>
      </c>
      <c r="E16" s="17" t="s">
        <v>112</v>
      </c>
      <c r="F16" s="17" t="s">
        <v>111</v>
      </c>
      <c r="G16" s="17" t="s">
        <v>110</v>
      </c>
      <c r="J16" s="19" t="s">
        <v>109</v>
      </c>
      <c r="K16" s="18" t="str">
        <f>_xlfn.XLOOKUP(K13,A6:A23,D6:D23,"NOT Found")</f>
        <v>Research</v>
      </c>
    </row>
    <row r="17" spans="1:11">
      <c r="A17" s="17" t="s">
        <v>108</v>
      </c>
      <c r="B17" s="17" t="s">
        <v>107</v>
      </c>
      <c r="C17" s="17" t="s">
        <v>106</v>
      </c>
      <c r="D17" s="17" t="s">
        <v>105</v>
      </c>
      <c r="E17" s="17" t="s">
        <v>104</v>
      </c>
      <c r="F17" s="17" t="s">
        <v>103</v>
      </c>
      <c r="G17" s="17" t="s">
        <v>102</v>
      </c>
      <c r="J17" s="19" t="s">
        <v>101</v>
      </c>
      <c r="K17" s="18" t="str">
        <f>_xlfn.XLOOKUP(K13,A6:A23,F6:F23,"NOT Found")</f>
        <v>richard.function@acme.com</v>
      </c>
    </row>
    <row r="18" spans="1:11">
      <c r="A18" s="17" t="s">
        <v>100</v>
      </c>
      <c r="B18" s="17" t="s">
        <v>99</v>
      </c>
      <c r="C18" s="17" t="s">
        <v>98</v>
      </c>
      <c r="D18" s="17" t="s">
        <v>97</v>
      </c>
      <c r="E18" s="17" t="s">
        <v>96</v>
      </c>
      <c r="F18" s="17" t="s">
        <v>95</v>
      </c>
      <c r="G18" s="17" t="s">
        <v>94</v>
      </c>
    </row>
    <row r="19" spans="1:11">
      <c r="A19" s="17" t="s">
        <v>93</v>
      </c>
      <c r="B19" s="17" t="s">
        <v>92</v>
      </c>
      <c r="C19" s="17" t="s">
        <v>91</v>
      </c>
      <c r="D19" s="17" t="s">
        <v>90</v>
      </c>
      <c r="E19" s="17" t="s">
        <v>89</v>
      </c>
      <c r="F19" s="17" t="s">
        <v>88</v>
      </c>
      <c r="G19" s="17" t="s">
        <v>87</v>
      </c>
    </row>
    <row r="20" spans="1:11">
      <c r="A20" s="17" t="s">
        <v>86</v>
      </c>
      <c r="B20" s="17" t="s">
        <v>85</v>
      </c>
      <c r="C20" s="17" t="s">
        <v>84</v>
      </c>
      <c r="D20" s="17" t="s">
        <v>83</v>
      </c>
      <c r="E20" s="17" t="s">
        <v>82</v>
      </c>
      <c r="F20" s="17" t="s">
        <v>81</v>
      </c>
      <c r="G20" s="17" t="s">
        <v>80</v>
      </c>
    </row>
    <row r="21" spans="1:11">
      <c r="A21" s="17" t="s">
        <v>79</v>
      </c>
      <c r="B21" s="17" t="s">
        <v>78</v>
      </c>
      <c r="C21" s="17" t="s">
        <v>77</v>
      </c>
      <c r="D21" s="17" t="s">
        <v>71</v>
      </c>
      <c r="E21" s="17" t="s">
        <v>70</v>
      </c>
      <c r="F21" s="17" t="s">
        <v>76</v>
      </c>
      <c r="G21" s="17" t="s">
        <v>75</v>
      </c>
    </row>
    <row r="22" spans="1:11">
      <c r="A22" s="17" t="s">
        <v>74</v>
      </c>
      <c r="B22" s="17" t="s">
        <v>73</v>
      </c>
      <c r="C22" s="17" t="s">
        <v>72</v>
      </c>
      <c r="D22" s="17" t="s">
        <v>71</v>
      </c>
      <c r="E22" s="17" t="s">
        <v>70</v>
      </c>
      <c r="F22" s="17" t="s">
        <v>69</v>
      </c>
      <c r="G22" s="17" t="s">
        <v>68</v>
      </c>
    </row>
    <row r="23" spans="1:11">
      <c r="A23" s="16" t="s">
        <v>67</v>
      </c>
      <c r="B23" s="16" t="s">
        <v>66</v>
      </c>
      <c r="C23" s="16" t="s">
        <v>65</v>
      </c>
      <c r="D23" s="16" t="s">
        <v>64</v>
      </c>
      <c r="E23" s="16" t="s">
        <v>63</v>
      </c>
      <c r="F23" s="16" t="s">
        <v>62</v>
      </c>
      <c r="G23" s="16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VLookup Ex 1</vt:lpstr>
      <vt:lpstr>VLookup Ex 2</vt:lpstr>
      <vt:lpstr>HLookup</vt:lpstr>
      <vt:lpstr>XLookup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Ankit Mahato</cp:lastModifiedBy>
  <dcterms:created xsi:type="dcterms:W3CDTF">2026-08-11T14:24:53Z</dcterms:created>
  <dcterms:modified xsi:type="dcterms:W3CDTF">2026-08-15T16:23:27Z</dcterms:modified>
</cp:coreProperties>
</file>