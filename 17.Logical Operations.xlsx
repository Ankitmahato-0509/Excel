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909a\Downloads\"/>
    </mc:Choice>
  </mc:AlternateContent>
  <xr:revisionPtr revIDLastSave="0" documentId="8_{56BF698E-5DBE-4920-B846-4B8C3CA17C79}" xr6:coauthVersionLast="47" xr6:coauthVersionMax="47" xr10:uidLastSave="{00000000-0000-0000-0000-000000000000}"/>
  <bookViews>
    <workbookView xWindow="-108" yWindow="-108" windowWidth="23256" windowHeight="12456" xr2:uid="{E9320568-0102-4F3B-BA66-8ECCFCFBD522}"/>
  </bookViews>
  <sheets>
    <sheet name="Exercise 1" sheetId="1" r:id="rId1"/>
    <sheet name="Exercise 2" sheetId="2" r:id="rId2"/>
    <sheet name="Exercise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" i="3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N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R4" i="2"/>
  <c r="R5" i="2"/>
  <c r="R6" i="2"/>
  <c r="R7" i="2"/>
  <c r="R8" i="2"/>
  <c r="R9" i="2"/>
  <c r="R10" i="2"/>
  <c r="R11" i="2"/>
  <c r="R12" i="2"/>
  <c r="R3" i="2"/>
  <c r="M12" i="2"/>
  <c r="M4" i="2"/>
  <c r="M5" i="2"/>
  <c r="M6" i="2"/>
  <c r="M7" i="2"/>
  <c r="M8" i="2"/>
  <c r="M9" i="2"/>
  <c r="M10" i="2"/>
  <c r="M11" i="2"/>
  <c r="M3" i="2"/>
  <c r="L12" i="2"/>
  <c r="P12" i="2" s="1"/>
  <c r="Q12" i="2" s="1"/>
  <c r="L4" i="2"/>
  <c r="L5" i="2"/>
  <c r="P5" i="2" s="1"/>
  <c r="Q5" i="2" s="1"/>
  <c r="L6" i="2"/>
  <c r="P6" i="2" s="1"/>
  <c r="Q6" i="2" s="1"/>
  <c r="L7" i="2"/>
  <c r="P7" i="2" s="1"/>
  <c r="Q7" i="2" s="1"/>
  <c r="L8" i="2"/>
  <c r="P8" i="2" s="1"/>
  <c r="Q8" i="2" s="1"/>
  <c r="L9" i="2"/>
  <c r="L10" i="2"/>
  <c r="L11" i="2"/>
  <c r="L3" i="2"/>
  <c r="K12" i="2"/>
  <c r="H12" i="2"/>
  <c r="I12" i="2" s="1"/>
  <c r="G12" i="2"/>
  <c r="F12" i="2"/>
  <c r="K11" i="2"/>
  <c r="H11" i="2"/>
  <c r="I11" i="2" s="1"/>
  <c r="G11" i="2"/>
  <c r="F11" i="2"/>
  <c r="K10" i="2"/>
  <c r="H10" i="2"/>
  <c r="I10" i="2" s="1"/>
  <c r="G10" i="2"/>
  <c r="F10" i="2"/>
  <c r="K9" i="2"/>
  <c r="H9" i="2"/>
  <c r="I9" i="2" s="1"/>
  <c r="G9" i="2"/>
  <c r="J9" i="2" s="1"/>
  <c r="F9" i="2"/>
  <c r="K8" i="2"/>
  <c r="H8" i="2"/>
  <c r="I8" i="2" s="1"/>
  <c r="G8" i="2"/>
  <c r="F8" i="2"/>
  <c r="K7" i="2"/>
  <c r="H7" i="2"/>
  <c r="I7" i="2" s="1"/>
  <c r="G7" i="2"/>
  <c r="F7" i="2"/>
  <c r="K6" i="2"/>
  <c r="H6" i="2"/>
  <c r="I6" i="2" s="1"/>
  <c r="G6" i="2"/>
  <c r="F6" i="2"/>
  <c r="K5" i="2"/>
  <c r="H5" i="2"/>
  <c r="I5" i="2" s="1"/>
  <c r="G5" i="2"/>
  <c r="F5" i="2"/>
  <c r="K4" i="2"/>
  <c r="H4" i="2"/>
  <c r="I4" i="2" s="1"/>
  <c r="G4" i="2"/>
  <c r="F4" i="2"/>
  <c r="K3" i="2"/>
  <c r="H3" i="2"/>
  <c r="I3" i="2" s="1"/>
  <c r="G3" i="2"/>
  <c r="F3" i="2"/>
  <c r="D4" i="1"/>
  <c r="D5" i="1"/>
  <c r="D6" i="1"/>
  <c r="D7" i="1"/>
  <c r="D8" i="1"/>
  <c r="D9" i="1"/>
  <c r="D10" i="1"/>
  <c r="D11" i="1"/>
  <c r="D12" i="1"/>
  <c r="C19" i="1"/>
  <c r="C20" i="1"/>
  <c r="C21" i="1"/>
  <c r="C22" i="1"/>
  <c r="C18" i="1"/>
  <c r="P4" i="2" l="1"/>
  <c r="Q4" i="2" s="1"/>
  <c r="P9" i="2"/>
  <c r="Q9" i="2" s="1"/>
  <c r="P10" i="2"/>
  <c r="Q10" i="2" s="1"/>
  <c r="P11" i="2"/>
  <c r="Q11" i="2" s="1"/>
  <c r="P3" i="2"/>
  <c r="Q3" i="2" s="1"/>
  <c r="J12" i="2"/>
  <c r="J11" i="2"/>
  <c r="J10" i="2"/>
  <c r="J8" i="2"/>
  <c r="J7" i="2"/>
  <c r="J6" i="2"/>
  <c r="J5" i="2"/>
  <c r="J4" i="2"/>
  <c r="J3" i="2"/>
</calcChain>
</file>

<file path=xl/sharedStrings.xml><?xml version="1.0" encoding="utf-8"?>
<sst xmlns="http://schemas.openxmlformats.org/spreadsheetml/2006/main" count="226" uniqueCount="152">
  <si>
    <t>Employee</t>
  </si>
  <si>
    <t>Grade</t>
  </si>
  <si>
    <t>Salary</t>
  </si>
  <si>
    <t>Nancy</t>
  </si>
  <si>
    <t>A</t>
  </si>
  <si>
    <t>Andrew</t>
  </si>
  <si>
    <t>B</t>
  </si>
  <si>
    <t>Janet</t>
  </si>
  <si>
    <t>Margaret</t>
  </si>
  <si>
    <t>C</t>
  </si>
  <si>
    <t>Steven</t>
  </si>
  <si>
    <t>Michael</t>
  </si>
  <si>
    <t>Robert</t>
  </si>
  <si>
    <t>Laura</t>
  </si>
  <si>
    <t>Bonus</t>
  </si>
  <si>
    <t>Anne</t>
  </si>
  <si>
    <t>Salesman</t>
  </si>
  <si>
    <t>Sales</t>
  </si>
  <si>
    <t>Good</t>
  </si>
  <si>
    <t>Avg</t>
  </si>
  <si>
    <t>Poor</t>
  </si>
  <si>
    <t>John</t>
  </si>
  <si>
    <t>&lt;2500</t>
  </si>
  <si>
    <t>2500-5000</t>
  </si>
  <si>
    <t>&gt;5000</t>
  </si>
  <si>
    <t>Calculate Bonus for all employees at 10% of their salary (Only bonus for employee A and B)</t>
  </si>
  <si>
    <t>Performance of Salesman on the bases of Sales</t>
  </si>
  <si>
    <t>Job Title</t>
  </si>
  <si>
    <t xml:space="preserve"> Experience (Years)</t>
  </si>
  <si>
    <t>Annual Salary ($USD)</t>
  </si>
  <si>
    <t>Bonus Max ($USD)</t>
  </si>
  <si>
    <t>Experience (=)</t>
  </si>
  <si>
    <t>Total Salary (+)</t>
  </si>
  <si>
    <t>Bonus Rate (/)</t>
  </si>
  <si>
    <t>Confirm Total Salary</t>
  </si>
  <si>
    <t>Does Total Salary = Confirmed Salary?</t>
  </si>
  <si>
    <t>Is Bonus &gt; Annual Salary?</t>
  </si>
  <si>
    <t>Meets Experience</t>
  </si>
  <si>
    <t>Meets Salary</t>
  </si>
  <si>
    <t>Meets Both (1 or 0)</t>
  </si>
  <si>
    <t>Meets Both - Formula Only</t>
  </si>
  <si>
    <t>Meets Both</t>
  </si>
  <si>
    <t>Meets Goals</t>
  </si>
  <si>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</si>
  <si>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</si>
  <si>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</si>
  <si>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</si>
  <si>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</si>
  <si>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</si>
  <si>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</si>
  <si>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</si>
  <si>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</si>
  <si>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</si>
  <si>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Experience (&lt;=)</t>
  </si>
  <si>
    <t>Total Salary (&gt;=)</t>
  </si>
  <si>
    <t>Goal Status</t>
  </si>
  <si>
    <t>Goal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</si>
  <si>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</si>
  <si>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</si>
  <si>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</si>
  <si>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</si>
  <si>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</si>
  <si>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</si>
  <si>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</si>
  <si>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</si>
  <si>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</si>
  <si>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</si>
  <si>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Business Analyst</t>
  </si>
  <si>
    <t>Both Roles</t>
  </si>
  <si>
    <t>=AND()</t>
  </si>
  <si>
    <t>=OR()</t>
  </si>
  <si>
    <t>Buckets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</si>
  <si>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</si>
  <si>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</si>
  <si>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</si>
  <si>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</si>
  <si>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</si>
  <si>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</si>
  <si>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</si>
  <si>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</si>
  <si>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</si>
  <si>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</si>
  <si>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</si>
  <si>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</si>
  <si>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</si>
  <si>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</si>
  <si>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</si>
  <si>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</si>
  <si>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</si>
  <si>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</si>
  <si>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</si>
  <si>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</si>
  <si>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</si>
  <si>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</si>
  <si>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</si>
  <si>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</si>
  <si>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</si>
  <si>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</si>
  <si>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</si>
  <si>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</si>
  <si>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</si>
  <si>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</si>
  <si>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</si>
  <si>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</si>
  <si>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</si>
  <si>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</si>
  <si>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</si>
  <si>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</si>
  <si>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</si>
  <si>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</si>
  <si>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</si>
  <si>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</si>
  <si>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</si>
  <si>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</si>
  <si>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</si>
  <si>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</si>
  <si>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</si>
  <si>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</si>
  <si>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</si>
  <si>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</si>
  <si>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</si>
  <si>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</si>
  <si>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</si>
  <si>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</si>
  <si>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</si>
  <si>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</si>
  <si>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</si>
  <si>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</si>
  <si>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</si>
  <si>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</si>
  <si>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</si>
  <si>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</si>
  <si>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</si>
  <si>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</si>
  <si>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</si>
  <si>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</si>
  <si>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</si>
  <si>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</si>
  <si>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</si>
  <si>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</si>
  <si>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</si>
  <si>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</si>
  <si>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</si>
  <si>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</si>
  <si>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</si>
  <si>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</si>
  <si>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</si>
  <si>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</si>
  <si>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</si>
  <si>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</si>
  <si>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</si>
  <si>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NOT()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</si>
</sst>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3" borderId="0" xfId="0" applyFont="1" applyFill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0" borderId="4" xfId="0" applyFont="1" applyBorder="1"/>
    <xf numFmtId="0" fontId="3" fillId="0" borderId="1" xfId="0" applyFont="1" applyBorder="1"/>
    <xf numFmtId="164" fontId="3" fillId="0" borderId="1" xfId="1" applyNumberFormat="1" applyFont="1" applyBorder="1" applyAlignment="1"/>
    <xf numFmtId="0" fontId="3" fillId="0" borderId="1" xfId="1" applyNumberFormat="1" applyFont="1" applyBorder="1" applyAlignment="1"/>
    <xf numFmtId="0" fontId="3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7" borderId="1" xfId="0" applyFont="1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4" fillId="5" borderId="1" xfId="0" applyFont="1" applyFill="1" applyBorder="1" applyAlignment="1">
      <alignment vertical="center"/>
    </xf>
    <xf numFmtId="0" fontId="0" fillId="8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2" fillId="3" borderId="0" xfId="0" applyFont="1" applyFill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1FAF-1D5B-4E09-9703-085CFCE2438F}">
  <dimension ref="A1:H22"/>
  <sheetViews>
    <sheetView tabSelected="1" workbookViewId="0">
      <selection activeCell="H14" sqref="H14"/>
    </sheetView>
  </sheetViews>
  <sheetFormatPr defaultRowHeight="14.4" x14ac:dyDescent="0.3"/>
  <cols>
    <col min="2" max="2" width="8.88671875" customWidth="1"/>
    <col min="3" max="3" width="20.88671875" customWidth="1"/>
    <col min="4" max="4" width="8.88671875" bestFit="1" customWidth="1"/>
    <col min="7" max="7" width="11.5546875" customWidth="1"/>
  </cols>
  <sheetData>
    <row r="1" spans="1:7" x14ac:dyDescent="0.3">
      <c r="A1" s="20" t="s">
        <v>25</v>
      </c>
      <c r="B1" s="20"/>
      <c r="C1" s="20"/>
      <c r="D1" s="20"/>
      <c r="E1" s="20"/>
      <c r="F1" s="20"/>
      <c r="G1" s="20"/>
    </row>
    <row r="3" spans="1:7" ht="14.4" customHeight="1" x14ac:dyDescent="0.3">
      <c r="A3" s="3" t="s">
        <v>0</v>
      </c>
      <c r="B3" s="3" t="s">
        <v>1</v>
      </c>
      <c r="C3" s="3" t="s">
        <v>2</v>
      </c>
      <c r="D3" s="3" t="s">
        <v>14</v>
      </c>
    </row>
    <row r="4" spans="1:7" x14ac:dyDescent="0.3">
      <c r="A4" s="17" t="s">
        <v>3</v>
      </c>
      <c r="B4" s="18" t="s">
        <v>4</v>
      </c>
      <c r="C4" s="18">
        <v>15000</v>
      </c>
      <c r="D4" s="19">
        <f>IF(B4="A", C4*10%, IF(B4="B", C4*10%, "No Bonus"))</f>
        <v>1500</v>
      </c>
    </row>
    <row r="5" spans="1:7" x14ac:dyDescent="0.3">
      <c r="A5" s="17" t="s">
        <v>5</v>
      </c>
      <c r="B5" s="18" t="s">
        <v>6</v>
      </c>
      <c r="C5" s="18">
        <v>10000</v>
      </c>
      <c r="D5" s="19">
        <f t="shared" ref="D5:D12" si="0">IF(B5="A", C5*10%, IF(B5="B", C5*10%, "No Bonus"))</f>
        <v>1000</v>
      </c>
    </row>
    <row r="6" spans="1:7" x14ac:dyDescent="0.3">
      <c r="A6" s="17" t="s">
        <v>7</v>
      </c>
      <c r="B6" s="18" t="s">
        <v>4</v>
      </c>
      <c r="C6" s="18">
        <v>18000</v>
      </c>
      <c r="D6" s="19">
        <f t="shared" si="0"/>
        <v>1800</v>
      </c>
    </row>
    <row r="7" spans="1:7" x14ac:dyDescent="0.3">
      <c r="A7" s="17" t="s">
        <v>8</v>
      </c>
      <c r="B7" s="18" t="s">
        <v>9</v>
      </c>
      <c r="C7" s="18">
        <v>7000</v>
      </c>
      <c r="D7" s="19" t="str">
        <f t="shared" si="0"/>
        <v>No Bonus</v>
      </c>
    </row>
    <row r="8" spans="1:7" x14ac:dyDescent="0.3">
      <c r="A8" s="17" t="s">
        <v>10</v>
      </c>
      <c r="B8" s="18" t="s">
        <v>4</v>
      </c>
      <c r="C8" s="18">
        <v>12000</v>
      </c>
      <c r="D8" s="19">
        <f t="shared" si="0"/>
        <v>1200</v>
      </c>
    </row>
    <row r="9" spans="1:7" x14ac:dyDescent="0.3">
      <c r="A9" s="17" t="s">
        <v>11</v>
      </c>
      <c r="B9" s="18" t="s">
        <v>6</v>
      </c>
      <c r="C9" s="18">
        <v>9000</v>
      </c>
      <c r="D9" s="19">
        <f t="shared" si="0"/>
        <v>900</v>
      </c>
    </row>
    <row r="10" spans="1:7" x14ac:dyDescent="0.3">
      <c r="A10" s="17" t="s">
        <v>12</v>
      </c>
      <c r="B10" s="18" t="s">
        <v>4</v>
      </c>
      <c r="C10" s="18">
        <v>13000</v>
      </c>
      <c r="D10" s="19">
        <f t="shared" si="0"/>
        <v>1300</v>
      </c>
    </row>
    <row r="11" spans="1:7" x14ac:dyDescent="0.3">
      <c r="A11" s="17" t="s">
        <v>13</v>
      </c>
      <c r="B11" s="18" t="s">
        <v>6</v>
      </c>
      <c r="C11" s="18">
        <v>11000</v>
      </c>
      <c r="D11" s="19">
        <f t="shared" si="0"/>
        <v>1100</v>
      </c>
    </row>
    <row r="12" spans="1:7" x14ac:dyDescent="0.3">
      <c r="A12" s="17" t="s">
        <v>15</v>
      </c>
      <c r="B12" s="18" t="s">
        <v>9</v>
      </c>
      <c r="C12" s="18">
        <v>8000</v>
      </c>
      <c r="D12" s="19" t="str">
        <f t="shared" si="0"/>
        <v>No Bonus</v>
      </c>
    </row>
    <row r="13" spans="1:7" x14ac:dyDescent="0.3">
      <c r="A13" s="1"/>
      <c r="B13" s="2"/>
      <c r="C13" s="2"/>
      <c r="D13" s="2"/>
    </row>
    <row r="14" spans="1:7" x14ac:dyDescent="0.3">
      <c r="A14" s="1"/>
      <c r="B14" s="2"/>
      <c r="C14" s="2"/>
      <c r="D14" s="2"/>
    </row>
    <row r="15" spans="1:7" x14ac:dyDescent="0.3">
      <c r="A15" s="20" t="s">
        <v>26</v>
      </c>
      <c r="B15" s="20"/>
      <c r="C15" s="20"/>
      <c r="D15" s="20"/>
    </row>
    <row r="17" spans="1:8" ht="28.8" x14ac:dyDescent="0.3">
      <c r="A17" s="3" t="s">
        <v>16</v>
      </c>
      <c r="B17" s="3" t="s">
        <v>17</v>
      </c>
      <c r="C17" s="3" t="s">
        <v>14</v>
      </c>
    </row>
    <row r="18" spans="1:8" x14ac:dyDescent="0.3">
      <c r="A18" s="17" t="s">
        <v>5</v>
      </c>
      <c r="B18" s="18">
        <v>5700</v>
      </c>
      <c r="C18" s="19" t="str">
        <f>IF(B18&lt;2500,"Poor",IF(B18&gt;5000,"Good","Avg"))</f>
        <v>Good</v>
      </c>
      <c r="G18" s="4" t="s">
        <v>22</v>
      </c>
      <c r="H18" s="4" t="s">
        <v>20</v>
      </c>
    </row>
    <row r="19" spans="1:8" x14ac:dyDescent="0.3">
      <c r="A19" s="17" t="s">
        <v>10</v>
      </c>
      <c r="B19" s="18">
        <v>3500</v>
      </c>
      <c r="C19" s="19" t="str">
        <f t="shared" ref="C19:C22" si="1">IF(B19&lt;2500,"Poor",IF(B19&gt;5000,"Good","Avg"))</f>
        <v>Avg</v>
      </c>
      <c r="G19" s="4" t="s">
        <v>23</v>
      </c>
      <c r="H19" s="4" t="s">
        <v>19</v>
      </c>
    </row>
    <row r="20" spans="1:8" x14ac:dyDescent="0.3">
      <c r="A20" s="17" t="s">
        <v>11</v>
      </c>
      <c r="B20" s="18">
        <v>1500</v>
      </c>
      <c r="C20" s="19" t="str">
        <f t="shared" si="1"/>
        <v>Poor</v>
      </c>
      <c r="G20" s="4" t="s">
        <v>24</v>
      </c>
      <c r="H20" s="4" t="s">
        <v>18</v>
      </c>
    </row>
    <row r="21" spans="1:8" x14ac:dyDescent="0.3">
      <c r="A21" s="17" t="s">
        <v>12</v>
      </c>
      <c r="B21" s="18">
        <v>4200</v>
      </c>
      <c r="C21" s="19" t="str">
        <f t="shared" si="1"/>
        <v>Avg</v>
      </c>
    </row>
    <row r="22" spans="1:8" x14ac:dyDescent="0.3">
      <c r="A22" s="17" t="s">
        <v>21</v>
      </c>
      <c r="B22" s="18">
        <v>3900</v>
      </c>
      <c r="C22" s="19" t="str">
        <f t="shared" si="1"/>
        <v>Avg</v>
      </c>
    </row>
  </sheetData>
  <mergeCells count="2">
    <mergeCell ref="A15:D15"/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10EA-3908-42E1-97D1-F74A8CD51504}">
  <dimension ref="B1:R18"/>
  <sheetViews>
    <sheetView workbookViewId="0">
      <selection activeCell="L3" sqref="L3:R12"/>
    </sheetView>
  </sheetViews>
  <sheetFormatPr defaultColWidth="9.109375" defaultRowHeight="14.4" x14ac:dyDescent="0.3"/>
  <cols>
    <col min="1" max="1" width="5.109375" style="6" customWidth="1"/>
    <col min="2" max="2" width="22.6640625" style="6" bestFit="1" customWidth="1"/>
    <col min="3" max="3" width="18.21875" style="6" bestFit="1" customWidth="1"/>
    <col min="4" max="4" width="12.21875" style="6" customWidth="1"/>
    <col min="5" max="5" width="11.5546875" style="6" customWidth="1"/>
    <col min="6" max="6" width="10.5546875" style="6" hidden="1" customWidth="1"/>
    <col min="7" max="7" width="9.109375" style="6" hidden="1" customWidth="1"/>
    <col min="8" max="9" width="11.109375" style="6" hidden="1" customWidth="1"/>
    <col min="10" max="10" width="17.21875" style="6" hidden="1" customWidth="1"/>
    <col min="11" max="11" width="14.21875" style="6" hidden="1" customWidth="1"/>
    <col min="12" max="12" width="10.21875" style="6" customWidth="1"/>
    <col min="13" max="13" width="9.109375" style="6"/>
    <col min="14" max="14" width="10.44140625" style="6" hidden="1" customWidth="1"/>
    <col min="15" max="15" width="14.109375" style="6" hidden="1" customWidth="1"/>
    <col min="16" max="16" width="9.6640625" style="6" customWidth="1"/>
    <col min="17" max="17" width="9.109375" style="6"/>
    <col min="18" max="18" width="14.109375" style="6" bestFit="1" customWidth="1"/>
    <col min="19" max="16384" width="9.109375" style="6"/>
  </cols>
  <sheetData>
    <row r="1" spans="2:18" x14ac:dyDescent="0.3">
      <c r="G1" s="8"/>
    </row>
    <row r="2" spans="2:18" s="7" customFormat="1" ht="27.6" customHeight="1" x14ac:dyDescent="0.3"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55</v>
      </c>
    </row>
    <row r="3" spans="2:18" x14ac:dyDescent="0.3">
      <c r="B3" s="12" t="s">
        <v>43</v>
      </c>
      <c r="C3" s="13">
        <v>5</v>
      </c>
      <c r="D3" s="13">
        <v>120000</v>
      </c>
      <c r="E3" s="13">
        <v>10000</v>
      </c>
      <c r="F3" s="9">
        <f>C3</f>
        <v>5</v>
      </c>
      <c r="G3" s="9">
        <f>D3+E3</f>
        <v>130000</v>
      </c>
      <c r="H3" s="10">
        <f>E3/D3</f>
        <v>8.3333333333333329E-2</v>
      </c>
      <c r="I3" s="11">
        <f>D3+D3*H3</f>
        <v>130000</v>
      </c>
      <c r="J3" s="9" t="b">
        <f>G3=I3</f>
        <v>1</v>
      </c>
      <c r="K3" s="9" t="b">
        <f>E3&gt;D3</f>
        <v>0</v>
      </c>
      <c r="L3" s="14" t="b">
        <f t="shared" ref="L3:L12" si="0">C3&lt;=$C$17</f>
        <v>1</v>
      </c>
      <c r="M3" s="14" t="b">
        <f t="shared" ref="M3:M12" si="1">D3&gt;=$C$18</f>
        <v>1</v>
      </c>
      <c r="N3" s="14"/>
      <c r="O3" s="14"/>
      <c r="P3" s="14">
        <f>L3*M3</f>
        <v>1</v>
      </c>
      <c r="Q3" s="14" t="b">
        <f>P3=1</f>
        <v>1</v>
      </c>
      <c r="R3" s="14" t="str">
        <f>IF(Q3=TRUE,"Met ","No Met ")</f>
        <v xml:space="preserve">Met </v>
      </c>
    </row>
    <row r="4" spans="2:18" x14ac:dyDescent="0.3">
      <c r="B4" s="12" t="s">
        <v>44</v>
      </c>
      <c r="C4" s="13">
        <v>4</v>
      </c>
      <c r="D4" s="13">
        <v>135000</v>
      </c>
      <c r="E4" s="13">
        <v>12000</v>
      </c>
      <c r="F4" s="9">
        <f t="shared" ref="F4:F12" si="2">C4</f>
        <v>4</v>
      </c>
      <c r="G4" s="9">
        <f t="shared" ref="G4:G12" si="3">D4+E4</f>
        <v>147000</v>
      </c>
      <c r="H4" s="10">
        <f t="shared" ref="H4:H12" si="4">E4/D4</f>
        <v>8.8888888888888892E-2</v>
      </c>
      <c r="I4" s="11">
        <f t="shared" ref="I4:I12" si="5">D4+D4*H4</f>
        <v>147000</v>
      </c>
      <c r="J4" s="9" t="b">
        <f t="shared" ref="J4:J12" si="6">G4=I4</f>
        <v>1</v>
      </c>
      <c r="K4" s="9" t="b">
        <f t="shared" ref="K4:K12" si="7">E4&gt;D4</f>
        <v>0</v>
      </c>
      <c r="L4" s="14" t="b">
        <f t="shared" si="0"/>
        <v>1</v>
      </c>
      <c r="M4" s="14" t="b">
        <f t="shared" si="1"/>
        <v>1</v>
      </c>
      <c r="N4" s="14"/>
      <c r="O4" s="14"/>
      <c r="P4" s="14">
        <f t="shared" ref="P4:P11" si="8">L4*M4</f>
        <v>1</v>
      </c>
      <c r="Q4" s="14" t="b">
        <f t="shared" ref="Q4:Q12" si="9">P4=1</f>
        <v>1</v>
      </c>
      <c r="R4" s="14" t="str">
        <f t="shared" ref="R4:R12" si="10">IF(Q4=TRUE,"Met ","No Met ")</f>
        <v xml:space="preserve">Met </v>
      </c>
    </row>
    <row r="5" spans="2:18" x14ac:dyDescent="0.3">
      <c r="B5" s="12" t="s">
        <v>45</v>
      </c>
      <c r="C5" s="13">
        <v>2</v>
      </c>
      <c r="D5" s="13">
        <v>75000</v>
      </c>
      <c r="E5" s="13">
        <v>5000</v>
      </c>
      <c r="F5" s="9">
        <f t="shared" si="2"/>
        <v>2</v>
      </c>
      <c r="G5" s="9">
        <f t="shared" si="3"/>
        <v>80000</v>
      </c>
      <c r="H5" s="10">
        <f t="shared" si="4"/>
        <v>6.6666666666666666E-2</v>
      </c>
      <c r="I5" s="11">
        <f t="shared" si="5"/>
        <v>80000</v>
      </c>
      <c r="J5" s="9" t="b">
        <f t="shared" si="6"/>
        <v>1</v>
      </c>
      <c r="K5" s="9" t="b">
        <f t="shared" si="7"/>
        <v>0</v>
      </c>
      <c r="L5" s="14" t="b">
        <f t="shared" si="0"/>
        <v>1</v>
      </c>
      <c r="M5" s="14" t="b">
        <f t="shared" si="1"/>
        <v>0</v>
      </c>
      <c r="N5" s="14"/>
      <c r="O5" s="14"/>
      <c r="P5" s="14">
        <f t="shared" si="8"/>
        <v>0</v>
      </c>
      <c r="Q5" s="14" t="b">
        <f t="shared" si="9"/>
        <v>0</v>
      </c>
      <c r="R5" s="14" t="str">
        <f t="shared" si="10"/>
        <v xml:space="preserve">No Met </v>
      </c>
    </row>
    <row r="6" spans="2:18" x14ac:dyDescent="0.3">
      <c r="B6" s="12" t="s">
        <v>46</v>
      </c>
      <c r="C6" s="13">
        <v>6</v>
      </c>
      <c r="D6" s="13">
        <v>110000</v>
      </c>
      <c r="E6" s="13">
        <v>8000</v>
      </c>
      <c r="F6" s="9">
        <f t="shared" si="2"/>
        <v>6</v>
      </c>
      <c r="G6" s="9">
        <f t="shared" si="3"/>
        <v>118000</v>
      </c>
      <c r="H6" s="10">
        <f t="shared" si="4"/>
        <v>7.2727272727272724E-2</v>
      </c>
      <c r="I6" s="11">
        <f t="shared" si="5"/>
        <v>118000</v>
      </c>
      <c r="J6" s="9" t="b">
        <f t="shared" si="6"/>
        <v>1</v>
      </c>
      <c r="K6" s="9" t="b">
        <f t="shared" si="7"/>
        <v>0</v>
      </c>
      <c r="L6" s="14" t="b">
        <f t="shared" si="0"/>
        <v>0</v>
      </c>
      <c r="M6" s="14" t="b">
        <f t="shared" si="1"/>
        <v>1</v>
      </c>
      <c r="N6" s="14"/>
      <c r="O6" s="14"/>
      <c r="P6" s="14">
        <f t="shared" si="8"/>
        <v>0</v>
      </c>
      <c r="Q6" s="14" t="b">
        <f t="shared" si="9"/>
        <v>0</v>
      </c>
      <c r="R6" s="14" t="str">
        <f t="shared" si="10"/>
        <v xml:space="preserve">No Met </v>
      </c>
    </row>
    <row r="7" spans="2:18" x14ac:dyDescent="0.3">
      <c r="B7" s="12" t="s">
        <v>47</v>
      </c>
      <c r="C7" s="13">
        <v>3</v>
      </c>
      <c r="D7" s="13">
        <v>125000</v>
      </c>
      <c r="E7" s="13">
        <v>11000</v>
      </c>
      <c r="F7" s="9">
        <f t="shared" si="2"/>
        <v>3</v>
      </c>
      <c r="G7" s="9">
        <f t="shared" si="3"/>
        <v>136000</v>
      </c>
      <c r="H7" s="10">
        <f t="shared" si="4"/>
        <v>8.7999999999999995E-2</v>
      </c>
      <c r="I7" s="11">
        <f t="shared" si="5"/>
        <v>136000</v>
      </c>
      <c r="J7" s="9" t="b">
        <f t="shared" si="6"/>
        <v>1</v>
      </c>
      <c r="K7" s="9" t="b">
        <f t="shared" si="7"/>
        <v>0</v>
      </c>
      <c r="L7" s="14" t="b">
        <f t="shared" si="0"/>
        <v>1</v>
      </c>
      <c r="M7" s="14" t="b">
        <f t="shared" si="1"/>
        <v>1</v>
      </c>
      <c r="N7" s="14"/>
      <c r="O7" s="14"/>
      <c r="P7" s="14">
        <f t="shared" si="8"/>
        <v>1</v>
      </c>
      <c r="Q7" s="14" t="b">
        <f t="shared" si="9"/>
        <v>1</v>
      </c>
      <c r="R7" s="14" t="str">
        <f t="shared" si="10"/>
        <v xml:space="preserve">Met </v>
      </c>
    </row>
    <row r="8" spans="2:18" x14ac:dyDescent="0.3">
      <c r="B8" s="12" t="s">
        <v>48</v>
      </c>
      <c r="C8" s="13">
        <v>7</v>
      </c>
      <c r="D8" s="13">
        <v>90000</v>
      </c>
      <c r="E8" s="13">
        <v>7000</v>
      </c>
      <c r="F8" s="9">
        <f t="shared" si="2"/>
        <v>7</v>
      </c>
      <c r="G8" s="9">
        <f t="shared" si="3"/>
        <v>97000</v>
      </c>
      <c r="H8" s="10">
        <f t="shared" si="4"/>
        <v>7.7777777777777779E-2</v>
      </c>
      <c r="I8" s="11">
        <f t="shared" si="5"/>
        <v>97000</v>
      </c>
      <c r="J8" s="9" t="b">
        <f t="shared" si="6"/>
        <v>1</v>
      </c>
      <c r="K8" s="9" t="b">
        <f t="shared" si="7"/>
        <v>0</v>
      </c>
      <c r="L8" s="14" t="b">
        <f t="shared" si="0"/>
        <v>0</v>
      </c>
      <c r="M8" s="14" t="b">
        <f t="shared" si="1"/>
        <v>1</v>
      </c>
      <c r="N8" s="14"/>
      <c r="O8" s="14"/>
      <c r="P8" s="14">
        <f t="shared" si="8"/>
        <v>0</v>
      </c>
      <c r="Q8" s="14" t="b">
        <f t="shared" si="9"/>
        <v>0</v>
      </c>
      <c r="R8" s="14" t="str">
        <f t="shared" si="10"/>
        <v xml:space="preserve">No Met </v>
      </c>
    </row>
    <row r="9" spans="2:18" x14ac:dyDescent="0.3">
      <c r="B9" s="12" t="s">
        <v>49</v>
      </c>
      <c r="C9" s="13">
        <v>10</v>
      </c>
      <c r="D9" s="13">
        <v>150000</v>
      </c>
      <c r="E9" s="13">
        <v>15000</v>
      </c>
      <c r="F9" s="9">
        <f t="shared" si="2"/>
        <v>10</v>
      </c>
      <c r="G9" s="9">
        <f t="shared" si="3"/>
        <v>165000</v>
      </c>
      <c r="H9" s="10">
        <f t="shared" si="4"/>
        <v>0.1</v>
      </c>
      <c r="I9" s="11">
        <f t="shared" si="5"/>
        <v>165000</v>
      </c>
      <c r="J9" s="9" t="b">
        <f t="shared" si="6"/>
        <v>1</v>
      </c>
      <c r="K9" s="9" t="b">
        <f t="shared" si="7"/>
        <v>0</v>
      </c>
      <c r="L9" s="14" t="b">
        <f t="shared" si="0"/>
        <v>0</v>
      </c>
      <c r="M9" s="14" t="b">
        <f t="shared" si="1"/>
        <v>1</v>
      </c>
      <c r="N9" s="14"/>
      <c r="O9" s="14"/>
      <c r="P9" s="14">
        <f t="shared" si="8"/>
        <v>0</v>
      </c>
      <c r="Q9" s="14" t="b">
        <f t="shared" si="9"/>
        <v>0</v>
      </c>
      <c r="R9" s="14" t="str">
        <f t="shared" si="10"/>
        <v xml:space="preserve">No Met </v>
      </c>
    </row>
    <row r="10" spans="2:18" x14ac:dyDescent="0.3">
      <c r="B10" s="12" t="s">
        <v>50</v>
      </c>
      <c r="C10" s="13">
        <v>8</v>
      </c>
      <c r="D10" s="13">
        <v>130000</v>
      </c>
      <c r="E10" s="13">
        <v>13000</v>
      </c>
      <c r="F10" s="9">
        <f t="shared" si="2"/>
        <v>8</v>
      </c>
      <c r="G10" s="9">
        <f t="shared" si="3"/>
        <v>143000</v>
      </c>
      <c r="H10" s="10">
        <f t="shared" si="4"/>
        <v>0.1</v>
      </c>
      <c r="I10" s="11">
        <f t="shared" si="5"/>
        <v>143000</v>
      </c>
      <c r="J10" s="9" t="b">
        <f t="shared" si="6"/>
        <v>1</v>
      </c>
      <c r="K10" s="9" t="b">
        <f t="shared" si="7"/>
        <v>0</v>
      </c>
      <c r="L10" s="14" t="b">
        <f t="shared" si="0"/>
        <v>0</v>
      </c>
      <c r="M10" s="14" t="b">
        <f t="shared" si="1"/>
        <v>1</v>
      </c>
      <c r="N10" s="14"/>
      <c r="O10" s="14"/>
      <c r="P10" s="14">
        <f t="shared" si="8"/>
        <v>0</v>
      </c>
      <c r="Q10" s="14" t="b">
        <f t="shared" si="9"/>
        <v>0</v>
      </c>
      <c r="R10" s="14" t="str">
        <f t="shared" si="10"/>
        <v xml:space="preserve">No Met </v>
      </c>
    </row>
    <row r="11" spans="2:18" x14ac:dyDescent="0.3">
      <c r="B11" s="12" t="s">
        <v>51</v>
      </c>
      <c r="C11" s="13">
        <v>3</v>
      </c>
      <c r="D11" s="13">
        <v>140000</v>
      </c>
      <c r="E11" s="13">
        <v>14000</v>
      </c>
      <c r="F11" s="9">
        <f t="shared" si="2"/>
        <v>3</v>
      </c>
      <c r="G11" s="9">
        <f t="shared" si="3"/>
        <v>154000</v>
      </c>
      <c r="H11" s="10">
        <f t="shared" si="4"/>
        <v>0.1</v>
      </c>
      <c r="I11" s="11">
        <f t="shared" si="5"/>
        <v>154000</v>
      </c>
      <c r="J11" s="9" t="b">
        <f t="shared" si="6"/>
        <v>1</v>
      </c>
      <c r="K11" s="9" t="b">
        <f t="shared" si="7"/>
        <v>0</v>
      </c>
      <c r="L11" s="14" t="b">
        <f t="shared" si="0"/>
        <v>1</v>
      </c>
      <c r="M11" s="14" t="b">
        <f t="shared" si="1"/>
        <v>1</v>
      </c>
      <c r="N11" s="14"/>
      <c r="O11" s="14"/>
      <c r="P11" s="14">
        <f t="shared" si="8"/>
        <v>1</v>
      </c>
      <c r="Q11" s="14" t="b">
        <f t="shared" si="9"/>
        <v>1</v>
      </c>
      <c r="R11" s="14" t="str">
        <f t="shared" si="10"/>
        <v xml:space="preserve">Met </v>
      </c>
    </row>
    <row r="12" spans="2:18" x14ac:dyDescent="0.3">
      <c r="B12" s="12" t="s">
        <v>52</v>
      </c>
      <c r="C12" s="13">
        <v>5</v>
      </c>
      <c r="D12" s="13">
        <v>115000</v>
      </c>
      <c r="E12" s="13">
        <v>9000</v>
      </c>
      <c r="F12" s="9">
        <f t="shared" si="2"/>
        <v>5</v>
      </c>
      <c r="G12" s="9">
        <f t="shared" si="3"/>
        <v>124000</v>
      </c>
      <c r="H12" s="10">
        <f t="shared" si="4"/>
        <v>7.8260869565217397E-2</v>
      </c>
      <c r="I12" s="11">
        <f t="shared" si="5"/>
        <v>124000</v>
      </c>
      <c r="J12" s="9" t="b">
        <f t="shared" si="6"/>
        <v>1</v>
      </c>
      <c r="K12" s="9" t="b">
        <f t="shared" si="7"/>
        <v>0</v>
      </c>
      <c r="L12" s="14" t="b">
        <f t="shared" si="0"/>
        <v>1</v>
      </c>
      <c r="M12" s="14" t="b">
        <f t="shared" si="1"/>
        <v>1</v>
      </c>
      <c r="N12" s="14"/>
      <c r="O12" s="14"/>
      <c r="P12" s="14">
        <f>L12*M12</f>
        <v>1</v>
      </c>
      <c r="Q12" s="14" t="b">
        <f t="shared" si="9"/>
        <v>1</v>
      </c>
      <c r="R12" s="14" t="str">
        <f t="shared" si="10"/>
        <v xml:space="preserve">Met </v>
      </c>
    </row>
    <row r="15" spans="2:18" x14ac:dyDescent="0.3">
      <c r="B15" s="5" t="s">
        <v>56</v>
      </c>
    </row>
    <row r="16" spans="2:18" ht="15" thickBot="1" x14ac:dyDescent="0.35"/>
    <row r="17" spans="2:3" x14ac:dyDescent="0.3">
      <c r="B17" s="3" t="s">
        <v>53</v>
      </c>
      <c r="C17" s="15">
        <v>5</v>
      </c>
    </row>
    <row r="18" spans="2:3" ht="15" thickBot="1" x14ac:dyDescent="0.35">
      <c r="B18" s="3" t="s">
        <v>54</v>
      </c>
      <c r="C18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DB6CA-74A2-461D-A2B8-77D3ED0A2F39}">
  <dimension ref="A1:S21"/>
  <sheetViews>
    <sheetView workbookViewId="0">
      <pane xSplit="1" topLeftCell="K1" activePane="topRight" state="frozen"/>
      <selection pane="topRight" activeCell="F14" sqref="F14"/>
    </sheetView>
  </sheetViews>
  <sheetFormatPr defaultRowHeight="14.4" x14ac:dyDescent="0.3"/>
  <cols>
    <col min="1" max="2" width="18.109375" bestFit="1" customWidth="1"/>
    <col min="3" max="3" width="23.21875" bestFit="1" customWidth="1"/>
    <col min="4" max="4" width="11.88671875" bestFit="1" customWidth="1"/>
    <col min="5" max="5" width="41.33203125" bestFit="1" customWidth="1"/>
    <col min="6" max="6" width="15.88671875" bestFit="1" customWidth="1"/>
    <col min="7" max="7" width="19.88671875" bestFit="1" customWidth="1"/>
    <col min="8" max="8" width="14.6640625" bestFit="1" customWidth="1"/>
    <col min="9" max="9" width="20.21875" bestFit="1" customWidth="1"/>
    <col min="10" max="10" width="73.33203125" bestFit="1" customWidth="1"/>
    <col min="11" max="11" width="14.33203125" customWidth="1"/>
    <col min="12" max="12" width="14.88671875" bestFit="1" customWidth="1"/>
    <col min="13" max="13" width="17.5546875" customWidth="1"/>
    <col min="14" max="14" width="13.5546875" customWidth="1"/>
    <col min="15" max="16" width="15.21875" customWidth="1"/>
    <col min="17" max="17" width="14.109375" customWidth="1"/>
    <col min="18" max="18" width="13.77734375" customWidth="1"/>
    <col min="19" max="19" width="17.5546875" customWidth="1"/>
  </cols>
  <sheetData>
    <row r="1" spans="1:19" x14ac:dyDescent="0.3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  <c r="J1" s="3" t="s">
        <v>66</v>
      </c>
      <c r="K1" s="3" t="s">
        <v>45</v>
      </c>
      <c r="L1" s="3" t="s">
        <v>67</v>
      </c>
      <c r="M1" s="3" t="s">
        <v>68</v>
      </c>
      <c r="N1" s="3" t="s">
        <v>69</v>
      </c>
      <c r="O1" s="3" t="s">
        <v>70</v>
      </c>
      <c r="P1" s="3" t="s">
        <v>151</v>
      </c>
      <c r="Q1" s="3" t="s">
        <v>68</v>
      </c>
      <c r="R1" s="3">
        <v>85000</v>
      </c>
      <c r="S1" s="3" t="s">
        <v>71</v>
      </c>
    </row>
    <row r="2" spans="1:19" x14ac:dyDescent="0.3">
      <c r="A2" s="12" t="s">
        <v>72</v>
      </c>
      <c r="B2" s="13">
        <v>44996.547291666669</v>
      </c>
      <c r="C2" s="13" t="s">
        <v>73</v>
      </c>
      <c r="D2" s="13" t="s">
        <v>74</v>
      </c>
      <c r="E2" s="13" t="s">
        <v>75</v>
      </c>
      <c r="F2" s="13" t="s">
        <v>76</v>
      </c>
      <c r="G2" s="13" t="s">
        <v>77</v>
      </c>
      <c r="H2" s="13">
        <v>135000</v>
      </c>
      <c r="I2" s="13" t="b">
        <v>0</v>
      </c>
      <c r="J2" s="13" t="s">
        <v>78</v>
      </c>
      <c r="K2" s="14" t="str">
        <f t="shared" ref="K2:K21" si="0">IF($K$1=A2,"Role Desired","No Desired Role")</f>
        <v>No Desired Role</v>
      </c>
      <c r="L2" s="14" t="str">
        <f>IF($L$1=A2,"Role Desired","No Desired Role")</f>
        <v>No Desired Role</v>
      </c>
      <c r="M2" s="14" t="str">
        <f>IF($K$1=A2,"Desired Role",IF($L$1=A2,"Desied Role","No Desired Role"))</f>
        <v>No Desired Role</v>
      </c>
      <c r="N2" s="14" t="b">
        <f>AND(A2=$K$1,A2=$L$1)</f>
        <v>0</v>
      </c>
      <c r="O2" s="14" t="b">
        <f>OR(A2=$K$1,A2=$L$1)</f>
        <v>0</v>
      </c>
      <c r="P2" s="14" t="b">
        <f>NOT(A2="Data analyst")</f>
        <v>1</v>
      </c>
      <c r="Q2" s="14" t="str">
        <f>IF(OR($A2=$K$1,$A2=$L$1),"Role Desired","No Role Desired")</f>
        <v>No Role Desired</v>
      </c>
      <c r="R2" s="14" t="str">
        <f>IF(H2&gt;$R$1,"Salary &gt; 85K","Salary Low")</f>
        <v>Salary &gt; 85K</v>
      </c>
      <c r="S2" s="14" t="str">
        <f>IF(H2="","No Data",IF(H2&gt;$R$1,"Salary &gt; 85K","Salary Low"))</f>
        <v>Salary &gt; 85K</v>
      </c>
    </row>
    <row r="3" spans="1:19" x14ac:dyDescent="0.3">
      <c r="A3" s="12" t="s">
        <v>45</v>
      </c>
      <c r="B3" s="13">
        <v>45097.915243055562</v>
      </c>
      <c r="C3" s="13" t="s">
        <v>79</v>
      </c>
      <c r="D3" s="13" t="s">
        <v>80</v>
      </c>
      <c r="E3" s="13" t="s">
        <v>81</v>
      </c>
      <c r="F3" s="13" t="s">
        <v>82</v>
      </c>
      <c r="G3" s="13" t="s">
        <v>83</v>
      </c>
      <c r="H3" s="13">
        <v>35000</v>
      </c>
      <c r="I3" s="13" t="b">
        <v>1</v>
      </c>
      <c r="J3" s="13" t="s">
        <v>84</v>
      </c>
      <c r="K3" s="14" t="str">
        <f t="shared" si="0"/>
        <v>Role Desired</v>
      </c>
      <c r="L3" s="14" t="str">
        <f t="shared" ref="L3:L21" si="1">IF($L$1=A3,"Role Desired","No Desired Role")</f>
        <v>No Desired Role</v>
      </c>
      <c r="M3" s="14" t="str">
        <f t="shared" ref="M3:M21" si="2">IF($K$1=A3,"Desired Role",IF($L$1=A3,"Desied Role","No Desired Role"))</f>
        <v>Desired Role</v>
      </c>
      <c r="N3" s="14" t="b">
        <f t="shared" ref="N3:N21" si="3">AND(A3=$K$1,A3=$L$1)</f>
        <v>0</v>
      </c>
      <c r="O3" s="14" t="b">
        <f t="shared" ref="O3:O21" si="4">OR(A3=$K$1,A3=$L$1)</f>
        <v>1</v>
      </c>
      <c r="P3" s="14" t="b">
        <f t="shared" ref="P3:P21" si="5">NOT(A3="Data analyst")</f>
        <v>0</v>
      </c>
      <c r="Q3" s="14" t="str">
        <f t="shared" ref="Q3:Q21" si="6">IF(OR($A3=$K$1,$A3=$L$1),"Role Desired","No Role Desired")</f>
        <v>Role Desired</v>
      </c>
      <c r="R3" s="14" t="str">
        <f t="shared" ref="R3:R21" si="7">IF(H3&gt;$R$1,"Salary &gt; 85K","Salary Low")</f>
        <v>Salary Low</v>
      </c>
      <c r="S3" s="14" t="str">
        <f t="shared" ref="S3:S21" si="8">IF(H3="","No Data",IF(H3&gt;$R$1,"Salary &gt; 85K","Salary Low"))</f>
        <v>Salary Low</v>
      </c>
    </row>
    <row r="4" spans="1:19" x14ac:dyDescent="0.3">
      <c r="A4" s="12" t="s">
        <v>45</v>
      </c>
      <c r="B4" s="13">
        <v>45173.250416666669</v>
      </c>
      <c r="C4" s="13" t="s">
        <v>85</v>
      </c>
      <c r="D4" s="13" t="s">
        <v>74</v>
      </c>
      <c r="E4" s="13" t="s">
        <v>86</v>
      </c>
      <c r="F4" s="13" t="s">
        <v>87</v>
      </c>
      <c r="G4" s="13" t="s">
        <v>77</v>
      </c>
      <c r="H4" s="13"/>
      <c r="I4" s="13" t="b">
        <v>0</v>
      </c>
      <c r="J4" s="13" t="s">
        <v>88</v>
      </c>
      <c r="K4" s="14" t="str">
        <f t="shared" si="0"/>
        <v>Role Desired</v>
      </c>
      <c r="L4" s="14" t="str">
        <f t="shared" si="1"/>
        <v>No Desired Role</v>
      </c>
      <c r="M4" s="14" t="str">
        <f t="shared" si="2"/>
        <v>Desired Role</v>
      </c>
      <c r="N4" s="14" t="b">
        <f t="shared" si="3"/>
        <v>0</v>
      </c>
      <c r="O4" s="14" t="b">
        <f t="shared" si="4"/>
        <v>1</v>
      </c>
      <c r="P4" s="14" t="b">
        <f t="shared" si="5"/>
        <v>0</v>
      </c>
      <c r="Q4" s="14" t="str">
        <f t="shared" si="6"/>
        <v>Role Desired</v>
      </c>
      <c r="R4" s="14" t="str">
        <f t="shared" si="7"/>
        <v>Salary Low</v>
      </c>
      <c r="S4" s="14" t="str">
        <f t="shared" si="8"/>
        <v>No Data</v>
      </c>
    </row>
    <row r="5" spans="1:19" x14ac:dyDescent="0.3">
      <c r="A5" s="12" t="s">
        <v>43</v>
      </c>
      <c r="B5" s="13">
        <v>45156.253321759257</v>
      </c>
      <c r="C5" s="13" t="s">
        <v>89</v>
      </c>
      <c r="D5" s="13" t="s">
        <v>74</v>
      </c>
      <c r="E5" s="13" t="s">
        <v>90</v>
      </c>
      <c r="F5" s="13" t="s">
        <v>87</v>
      </c>
      <c r="G5" s="13" t="s">
        <v>77</v>
      </c>
      <c r="H5" s="13"/>
      <c r="I5" s="13" t="b">
        <v>0</v>
      </c>
      <c r="J5" s="13" t="s">
        <v>91</v>
      </c>
      <c r="K5" s="14" t="str">
        <f t="shared" si="0"/>
        <v>No Desired Role</v>
      </c>
      <c r="L5" s="14" t="str">
        <f t="shared" si="1"/>
        <v>No Desired Role</v>
      </c>
      <c r="M5" s="14" t="str">
        <f t="shared" si="2"/>
        <v>No Desired Role</v>
      </c>
      <c r="N5" s="14" t="b">
        <f t="shared" si="3"/>
        <v>0</v>
      </c>
      <c r="O5" s="14" t="b">
        <f t="shared" si="4"/>
        <v>0</v>
      </c>
      <c r="P5" s="14" t="b">
        <f t="shared" si="5"/>
        <v>1</v>
      </c>
      <c r="Q5" s="14" t="str">
        <f t="shared" si="6"/>
        <v>No Role Desired</v>
      </c>
      <c r="R5" s="14" t="str">
        <f t="shared" si="7"/>
        <v>Salary Low</v>
      </c>
      <c r="S5" s="14" t="str">
        <f t="shared" si="8"/>
        <v>No Data</v>
      </c>
    </row>
    <row r="6" spans="1:19" x14ac:dyDescent="0.3">
      <c r="A6" s="12" t="s">
        <v>92</v>
      </c>
      <c r="B6" s="13">
        <v>45147.802951388891</v>
      </c>
      <c r="C6" s="13" t="s">
        <v>93</v>
      </c>
      <c r="D6" s="13" t="s">
        <v>94</v>
      </c>
      <c r="E6" s="13" t="s">
        <v>95</v>
      </c>
      <c r="F6" s="13" t="s">
        <v>87</v>
      </c>
      <c r="G6" s="13" t="s">
        <v>77</v>
      </c>
      <c r="H6" s="13"/>
      <c r="I6" s="13" t="b">
        <v>0</v>
      </c>
      <c r="J6" s="13" t="s">
        <v>96</v>
      </c>
      <c r="K6" s="14" t="str">
        <f t="shared" si="0"/>
        <v>No Desired Role</v>
      </c>
      <c r="L6" s="14" t="str">
        <f t="shared" si="1"/>
        <v>No Desired Role</v>
      </c>
      <c r="M6" s="14" t="str">
        <f t="shared" si="2"/>
        <v>No Desired Role</v>
      </c>
      <c r="N6" s="14" t="b">
        <f t="shared" si="3"/>
        <v>0</v>
      </c>
      <c r="O6" s="14" t="b">
        <f t="shared" si="4"/>
        <v>0</v>
      </c>
      <c r="P6" s="14" t="b">
        <f t="shared" si="5"/>
        <v>1</v>
      </c>
      <c r="Q6" s="14" t="str">
        <f t="shared" si="6"/>
        <v>No Role Desired</v>
      </c>
      <c r="R6" s="14" t="str">
        <f t="shared" si="7"/>
        <v>Salary Low</v>
      </c>
      <c r="S6" s="14" t="str">
        <f t="shared" si="8"/>
        <v>No Data</v>
      </c>
    </row>
    <row r="7" spans="1:19" x14ac:dyDescent="0.3">
      <c r="A7" s="12" t="s">
        <v>43</v>
      </c>
      <c r="B7" s="13">
        <v>45202.753101851849</v>
      </c>
      <c r="C7" s="13" t="s">
        <v>97</v>
      </c>
      <c r="D7" s="13" t="s">
        <v>74</v>
      </c>
      <c r="E7" s="13" t="s">
        <v>98</v>
      </c>
      <c r="F7" s="13" t="s">
        <v>87</v>
      </c>
      <c r="G7" s="13" t="s">
        <v>99</v>
      </c>
      <c r="H7" s="13"/>
      <c r="I7" s="13" t="b">
        <v>0</v>
      </c>
      <c r="J7" s="13" t="s">
        <v>100</v>
      </c>
      <c r="K7" s="14" t="str">
        <f t="shared" si="0"/>
        <v>No Desired Role</v>
      </c>
      <c r="L7" s="14" t="str">
        <f t="shared" si="1"/>
        <v>No Desired Role</v>
      </c>
      <c r="M7" s="14" t="str">
        <f t="shared" si="2"/>
        <v>No Desired Role</v>
      </c>
      <c r="N7" s="14" t="b">
        <f t="shared" si="3"/>
        <v>0</v>
      </c>
      <c r="O7" s="14" t="b">
        <f t="shared" si="4"/>
        <v>0</v>
      </c>
      <c r="P7" s="14" t="b">
        <f t="shared" si="5"/>
        <v>1</v>
      </c>
      <c r="Q7" s="14" t="str">
        <f t="shared" si="6"/>
        <v>No Role Desired</v>
      </c>
      <c r="R7" s="14" t="str">
        <f t="shared" si="7"/>
        <v>Salary Low</v>
      </c>
      <c r="S7" s="14" t="str">
        <f t="shared" si="8"/>
        <v>No Data</v>
      </c>
    </row>
    <row r="8" spans="1:19" x14ac:dyDescent="0.3">
      <c r="A8" s="12" t="s">
        <v>45</v>
      </c>
      <c r="B8" s="13">
        <v>44949.850462962961</v>
      </c>
      <c r="C8" s="13" t="s">
        <v>101</v>
      </c>
      <c r="D8" s="13" t="s">
        <v>74</v>
      </c>
      <c r="E8" s="13" t="s">
        <v>102</v>
      </c>
      <c r="F8" s="13" t="s">
        <v>76</v>
      </c>
      <c r="G8" s="13" t="s">
        <v>77</v>
      </c>
      <c r="H8" s="13"/>
      <c r="I8" s="13" t="b">
        <v>0</v>
      </c>
      <c r="J8" s="13" t="s">
        <v>103</v>
      </c>
      <c r="K8" s="14" t="str">
        <f t="shared" si="0"/>
        <v>Role Desired</v>
      </c>
      <c r="L8" s="14" t="str">
        <f t="shared" si="1"/>
        <v>No Desired Role</v>
      </c>
      <c r="M8" s="14" t="str">
        <f t="shared" si="2"/>
        <v>Desired Role</v>
      </c>
      <c r="N8" s="14" t="b">
        <f t="shared" si="3"/>
        <v>0</v>
      </c>
      <c r="O8" s="14" t="b">
        <f t="shared" si="4"/>
        <v>1</v>
      </c>
      <c r="P8" s="14" t="b">
        <f t="shared" si="5"/>
        <v>0</v>
      </c>
      <c r="Q8" s="14" t="str">
        <f t="shared" si="6"/>
        <v>Role Desired</v>
      </c>
      <c r="R8" s="14" t="str">
        <f t="shared" si="7"/>
        <v>Salary Low</v>
      </c>
      <c r="S8" s="14" t="str">
        <f t="shared" si="8"/>
        <v>No Data</v>
      </c>
    </row>
    <row r="9" spans="1:19" x14ac:dyDescent="0.3">
      <c r="A9" s="12" t="s">
        <v>45</v>
      </c>
      <c r="B9" s="13">
        <v>45001.627175925933</v>
      </c>
      <c r="C9" s="13" t="s">
        <v>104</v>
      </c>
      <c r="D9" s="13" t="s">
        <v>74</v>
      </c>
      <c r="E9" s="13" t="s">
        <v>105</v>
      </c>
      <c r="F9" s="13" t="s">
        <v>106</v>
      </c>
      <c r="G9" s="13" t="s">
        <v>77</v>
      </c>
      <c r="H9" s="13">
        <v>115000</v>
      </c>
      <c r="I9" s="13" t="b">
        <v>0</v>
      </c>
      <c r="J9" s="13" t="s">
        <v>107</v>
      </c>
      <c r="K9" s="14" t="str">
        <f t="shared" si="0"/>
        <v>Role Desired</v>
      </c>
      <c r="L9" s="14" t="str">
        <f t="shared" si="1"/>
        <v>No Desired Role</v>
      </c>
      <c r="M9" s="14" t="str">
        <f t="shared" si="2"/>
        <v>Desired Role</v>
      </c>
      <c r="N9" s="14" t="b">
        <f t="shared" si="3"/>
        <v>0</v>
      </c>
      <c r="O9" s="14" t="b">
        <f t="shared" si="4"/>
        <v>1</v>
      </c>
      <c r="P9" s="14" t="b">
        <f t="shared" si="5"/>
        <v>0</v>
      </c>
      <c r="Q9" s="14" t="str">
        <f t="shared" si="6"/>
        <v>Role Desired</v>
      </c>
      <c r="R9" s="14" t="str">
        <f t="shared" si="7"/>
        <v>Salary &gt; 85K</v>
      </c>
      <c r="S9" s="14" t="str">
        <f t="shared" si="8"/>
        <v>Salary &gt; 85K</v>
      </c>
    </row>
    <row r="10" spans="1:19" x14ac:dyDescent="0.3">
      <c r="A10" s="12" t="s">
        <v>45</v>
      </c>
      <c r="B10" s="13">
        <v>45041.375868055547</v>
      </c>
      <c r="C10" s="13" t="s">
        <v>108</v>
      </c>
      <c r="D10" s="13" t="s">
        <v>74</v>
      </c>
      <c r="E10" s="13" t="s">
        <v>109</v>
      </c>
      <c r="F10" s="13" t="s">
        <v>76</v>
      </c>
      <c r="G10" s="13" t="s">
        <v>83</v>
      </c>
      <c r="H10" s="13"/>
      <c r="I10" s="13" t="b">
        <v>0</v>
      </c>
      <c r="J10" s="13" t="s">
        <v>110</v>
      </c>
      <c r="K10" s="14" t="str">
        <f t="shared" si="0"/>
        <v>Role Desired</v>
      </c>
      <c r="L10" s="14" t="str">
        <f t="shared" si="1"/>
        <v>No Desired Role</v>
      </c>
      <c r="M10" s="14" t="str">
        <f t="shared" si="2"/>
        <v>Desired Role</v>
      </c>
      <c r="N10" s="14" t="b">
        <f t="shared" si="3"/>
        <v>0</v>
      </c>
      <c r="O10" s="14" t="b">
        <f t="shared" si="4"/>
        <v>1</v>
      </c>
      <c r="P10" s="14" t="b">
        <f t="shared" si="5"/>
        <v>0</v>
      </c>
      <c r="Q10" s="14" t="str">
        <f t="shared" si="6"/>
        <v>Role Desired</v>
      </c>
      <c r="R10" s="14" t="str">
        <f t="shared" si="7"/>
        <v>Salary Low</v>
      </c>
      <c r="S10" s="14" t="str">
        <f t="shared" si="8"/>
        <v>No Data</v>
      </c>
    </row>
    <row r="11" spans="1:19" x14ac:dyDescent="0.3">
      <c r="A11" s="12" t="s">
        <v>45</v>
      </c>
      <c r="B11" s="13">
        <v>45106.587094907409</v>
      </c>
      <c r="C11" s="13" t="s">
        <v>111</v>
      </c>
      <c r="D11" s="13" t="s">
        <v>74</v>
      </c>
      <c r="E11" s="13" t="s">
        <v>112</v>
      </c>
      <c r="F11" s="13" t="s">
        <v>113</v>
      </c>
      <c r="G11" s="13" t="s">
        <v>77</v>
      </c>
      <c r="H11" s="13">
        <v>105000</v>
      </c>
      <c r="I11" s="13" t="b">
        <v>0</v>
      </c>
      <c r="J11" s="13" t="s">
        <v>114</v>
      </c>
      <c r="K11" s="14" t="str">
        <f t="shared" si="0"/>
        <v>Role Desired</v>
      </c>
      <c r="L11" s="14" t="str">
        <f t="shared" si="1"/>
        <v>No Desired Role</v>
      </c>
      <c r="M11" s="14" t="str">
        <f t="shared" si="2"/>
        <v>Desired Role</v>
      </c>
      <c r="N11" s="14" t="b">
        <f t="shared" si="3"/>
        <v>0</v>
      </c>
      <c r="O11" s="14" t="b">
        <f t="shared" si="4"/>
        <v>1</v>
      </c>
      <c r="P11" s="14" t="b">
        <f t="shared" si="5"/>
        <v>0</v>
      </c>
      <c r="Q11" s="14" t="str">
        <f t="shared" si="6"/>
        <v>Role Desired</v>
      </c>
      <c r="R11" s="14" t="str">
        <f t="shared" si="7"/>
        <v>Salary &gt; 85K</v>
      </c>
      <c r="S11" s="14" t="str">
        <f t="shared" si="8"/>
        <v>Salary &gt; 85K</v>
      </c>
    </row>
    <row r="12" spans="1:19" x14ac:dyDescent="0.3">
      <c r="A12" s="12" t="s">
        <v>43</v>
      </c>
      <c r="B12" s="13">
        <v>45029.919687499998</v>
      </c>
      <c r="C12" s="13" t="s">
        <v>115</v>
      </c>
      <c r="D12" s="13" t="s">
        <v>74</v>
      </c>
      <c r="E12" s="13" t="s">
        <v>116</v>
      </c>
      <c r="F12" s="13" t="s">
        <v>106</v>
      </c>
      <c r="G12" s="13" t="s">
        <v>77</v>
      </c>
      <c r="H12" s="13">
        <v>195000</v>
      </c>
      <c r="I12" s="13" t="b">
        <v>0</v>
      </c>
      <c r="J12" s="13" t="s">
        <v>117</v>
      </c>
      <c r="K12" s="14" t="str">
        <f t="shared" si="0"/>
        <v>No Desired Role</v>
      </c>
      <c r="L12" s="14" t="str">
        <f t="shared" si="1"/>
        <v>No Desired Role</v>
      </c>
      <c r="M12" s="14" t="str">
        <f t="shared" si="2"/>
        <v>No Desired Role</v>
      </c>
      <c r="N12" s="14" t="b">
        <f t="shared" si="3"/>
        <v>0</v>
      </c>
      <c r="O12" s="14" t="b">
        <f t="shared" si="4"/>
        <v>0</v>
      </c>
      <c r="P12" s="14" t="b">
        <f t="shared" si="5"/>
        <v>1</v>
      </c>
      <c r="Q12" s="14" t="str">
        <f t="shared" si="6"/>
        <v>No Role Desired</v>
      </c>
      <c r="R12" s="14" t="str">
        <f t="shared" si="7"/>
        <v>Salary &gt; 85K</v>
      </c>
      <c r="S12" s="14" t="str">
        <f t="shared" si="8"/>
        <v>Salary &gt; 85K</v>
      </c>
    </row>
    <row r="13" spans="1:19" x14ac:dyDescent="0.3">
      <c r="A13" s="12" t="s">
        <v>118</v>
      </c>
      <c r="B13" s="13">
        <v>45091.502789351849</v>
      </c>
      <c r="C13" s="13" t="s">
        <v>119</v>
      </c>
      <c r="D13" s="13" t="s">
        <v>74</v>
      </c>
      <c r="E13" s="13" t="s">
        <v>120</v>
      </c>
      <c r="F13" s="13" t="s">
        <v>106</v>
      </c>
      <c r="G13" s="13" t="s">
        <v>77</v>
      </c>
      <c r="H13" s="13">
        <v>165000</v>
      </c>
      <c r="I13" s="13" t="b">
        <v>0</v>
      </c>
      <c r="J13" s="13" t="s">
        <v>121</v>
      </c>
      <c r="K13" s="14" t="str">
        <f t="shared" si="0"/>
        <v>No Desired Role</v>
      </c>
      <c r="L13" s="14" t="str">
        <f t="shared" si="1"/>
        <v>No Desired Role</v>
      </c>
      <c r="M13" s="14" t="str">
        <f t="shared" si="2"/>
        <v>No Desired Role</v>
      </c>
      <c r="N13" s="14" t="b">
        <f t="shared" si="3"/>
        <v>0</v>
      </c>
      <c r="O13" s="14" t="b">
        <f t="shared" si="4"/>
        <v>0</v>
      </c>
      <c r="P13" s="14" t="b">
        <f t="shared" si="5"/>
        <v>1</v>
      </c>
      <c r="Q13" s="14" t="str">
        <f t="shared" si="6"/>
        <v>No Role Desired</v>
      </c>
      <c r="R13" s="14" t="str">
        <f t="shared" si="7"/>
        <v>Salary &gt; 85K</v>
      </c>
      <c r="S13" s="14" t="str">
        <f t="shared" si="8"/>
        <v>Salary &gt; 85K</v>
      </c>
    </row>
    <row r="14" spans="1:19" x14ac:dyDescent="0.3">
      <c r="A14" s="12" t="s">
        <v>43</v>
      </c>
      <c r="B14" s="13">
        <v>45175.543124999997</v>
      </c>
      <c r="C14" s="13" t="s">
        <v>122</v>
      </c>
      <c r="D14" s="13" t="s">
        <v>74</v>
      </c>
      <c r="E14" s="13" t="s">
        <v>123</v>
      </c>
      <c r="F14" s="13" t="s">
        <v>124</v>
      </c>
      <c r="G14" s="13" t="s">
        <v>77</v>
      </c>
      <c r="H14" s="13">
        <v>281450.5</v>
      </c>
      <c r="I14" s="13" t="b">
        <v>0</v>
      </c>
      <c r="J14" s="13" t="s">
        <v>125</v>
      </c>
      <c r="K14" s="14" t="str">
        <f t="shared" si="0"/>
        <v>No Desired Role</v>
      </c>
      <c r="L14" s="14" t="str">
        <f t="shared" si="1"/>
        <v>No Desired Role</v>
      </c>
      <c r="M14" s="14" t="str">
        <f t="shared" si="2"/>
        <v>No Desired Role</v>
      </c>
      <c r="N14" s="14" t="b">
        <f t="shared" si="3"/>
        <v>0</v>
      </c>
      <c r="O14" s="14" t="b">
        <f t="shared" si="4"/>
        <v>0</v>
      </c>
      <c r="P14" s="14" t="b">
        <f t="shared" si="5"/>
        <v>1</v>
      </c>
      <c r="Q14" s="14" t="str">
        <f t="shared" si="6"/>
        <v>No Role Desired</v>
      </c>
      <c r="R14" s="14" t="str">
        <f t="shared" si="7"/>
        <v>Salary &gt; 85K</v>
      </c>
      <c r="S14" s="14" t="str">
        <f t="shared" si="8"/>
        <v>Salary &gt; 85K</v>
      </c>
    </row>
    <row r="15" spans="1:19" x14ac:dyDescent="0.3">
      <c r="A15" s="12" t="s">
        <v>43</v>
      </c>
      <c r="B15" s="13">
        <v>45117.778391203698</v>
      </c>
      <c r="C15" s="13" t="s">
        <v>126</v>
      </c>
      <c r="D15" s="13" t="s">
        <v>127</v>
      </c>
      <c r="E15" s="13" t="s">
        <v>128</v>
      </c>
      <c r="F15" s="13" t="s">
        <v>129</v>
      </c>
      <c r="G15" s="13" t="s">
        <v>77</v>
      </c>
      <c r="H15" s="13">
        <v>70000</v>
      </c>
      <c r="I15" s="13" t="b">
        <v>0</v>
      </c>
      <c r="J15" s="13" t="s">
        <v>130</v>
      </c>
      <c r="K15" s="14" t="str">
        <f t="shared" si="0"/>
        <v>No Desired Role</v>
      </c>
      <c r="L15" s="14" t="str">
        <f t="shared" si="1"/>
        <v>No Desired Role</v>
      </c>
      <c r="M15" s="14" t="str">
        <f t="shared" si="2"/>
        <v>No Desired Role</v>
      </c>
      <c r="N15" s="14" t="b">
        <f t="shared" si="3"/>
        <v>0</v>
      </c>
      <c r="O15" s="14" t="b">
        <f t="shared" si="4"/>
        <v>0</v>
      </c>
      <c r="P15" s="14" t="b">
        <f t="shared" si="5"/>
        <v>1</v>
      </c>
      <c r="Q15" s="14" t="str">
        <f t="shared" si="6"/>
        <v>No Role Desired</v>
      </c>
      <c r="R15" s="14" t="str">
        <f t="shared" si="7"/>
        <v>Salary Low</v>
      </c>
      <c r="S15" s="14" t="str">
        <f t="shared" si="8"/>
        <v>Salary Low</v>
      </c>
    </row>
    <row r="16" spans="1:19" x14ac:dyDescent="0.3">
      <c r="A16" s="12" t="s">
        <v>47</v>
      </c>
      <c r="B16" s="13">
        <v>44938.614351851851</v>
      </c>
      <c r="C16" s="13" t="s">
        <v>131</v>
      </c>
      <c r="D16" s="13" t="s">
        <v>132</v>
      </c>
      <c r="E16" s="13" t="s">
        <v>133</v>
      </c>
      <c r="F16" s="13" t="s">
        <v>129</v>
      </c>
      <c r="G16" s="13" t="s">
        <v>77</v>
      </c>
      <c r="H16" s="13">
        <v>98301.5</v>
      </c>
      <c r="I16" s="13" t="b">
        <v>0</v>
      </c>
      <c r="J16" s="13" t="s">
        <v>134</v>
      </c>
      <c r="K16" s="14" t="str">
        <f t="shared" si="0"/>
        <v>No Desired Role</v>
      </c>
      <c r="L16" s="14" t="str">
        <f t="shared" si="1"/>
        <v>No Desired Role</v>
      </c>
      <c r="M16" s="14" t="str">
        <f t="shared" si="2"/>
        <v>No Desired Role</v>
      </c>
      <c r="N16" s="14" t="b">
        <f t="shared" si="3"/>
        <v>0</v>
      </c>
      <c r="O16" s="14" t="b">
        <f t="shared" si="4"/>
        <v>0</v>
      </c>
      <c r="P16" s="14" t="b">
        <f t="shared" si="5"/>
        <v>1</v>
      </c>
      <c r="Q16" s="14" t="str">
        <f t="shared" si="6"/>
        <v>No Role Desired</v>
      </c>
      <c r="R16" s="14" t="str">
        <f t="shared" si="7"/>
        <v>Salary &gt; 85K</v>
      </c>
      <c r="S16" s="14" t="str">
        <f t="shared" si="8"/>
        <v>Salary &gt; 85K</v>
      </c>
    </row>
    <row r="17" spans="1:19" x14ac:dyDescent="0.3">
      <c r="A17" s="12" t="s">
        <v>47</v>
      </c>
      <c r="B17" s="13">
        <v>44985.354097222233</v>
      </c>
      <c r="C17" s="13" t="s">
        <v>135</v>
      </c>
      <c r="D17" s="13" t="s">
        <v>136</v>
      </c>
      <c r="E17" s="13" t="s">
        <v>137</v>
      </c>
      <c r="F17" s="13" t="s">
        <v>129</v>
      </c>
      <c r="G17" s="13" t="s">
        <v>77</v>
      </c>
      <c r="H17" s="13">
        <v>89100</v>
      </c>
      <c r="I17" s="13" t="b">
        <v>0</v>
      </c>
      <c r="J17" s="13" t="s">
        <v>138</v>
      </c>
      <c r="K17" s="14" t="str">
        <f t="shared" si="0"/>
        <v>No Desired Role</v>
      </c>
      <c r="L17" s="14" t="str">
        <f t="shared" si="1"/>
        <v>No Desired Role</v>
      </c>
      <c r="M17" s="14" t="str">
        <f t="shared" si="2"/>
        <v>No Desired Role</v>
      </c>
      <c r="N17" s="14" t="b">
        <f t="shared" si="3"/>
        <v>0</v>
      </c>
      <c r="O17" s="14" t="b">
        <f t="shared" si="4"/>
        <v>0</v>
      </c>
      <c r="P17" s="14" t="b">
        <f t="shared" si="5"/>
        <v>1</v>
      </c>
      <c r="Q17" s="14" t="str">
        <f t="shared" si="6"/>
        <v>No Role Desired</v>
      </c>
      <c r="R17" s="14" t="str">
        <f t="shared" si="7"/>
        <v>Salary &gt; 85K</v>
      </c>
      <c r="S17" s="14" t="str">
        <f t="shared" si="8"/>
        <v>Salary &gt; 85K</v>
      </c>
    </row>
    <row r="18" spans="1:19" x14ac:dyDescent="0.3">
      <c r="A18" s="12" t="s">
        <v>67</v>
      </c>
      <c r="B18" s="13">
        <v>45063.792291666658</v>
      </c>
      <c r="C18" s="13" t="s">
        <v>139</v>
      </c>
      <c r="D18" s="13" t="s">
        <v>74</v>
      </c>
      <c r="E18" s="13" t="s">
        <v>140</v>
      </c>
      <c r="F18" s="13" t="s">
        <v>106</v>
      </c>
      <c r="G18" s="13" t="s">
        <v>83</v>
      </c>
      <c r="H18" s="13"/>
      <c r="I18" s="13" t="b">
        <v>0</v>
      </c>
      <c r="J18" s="13" t="s">
        <v>141</v>
      </c>
      <c r="K18" s="14" t="str">
        <f t="shared" si="0"/>
        <v>No Desired Role</v>
      </c>
      <c r="L18" s="14" t="str">
        <f t="shared" si="1"/>
        <v>Role Desired</v>
      </c>
      <c r="M18" s="14" t="str">
        <f t="shared" si="2"/>
        <v>Desied Role</v>
      </c>
      <c r="N18" s="14" t="b">
        <f t="shared" si="3"/>
        <v>0</v>
      </c>
      <c r="O18" s="14" t="b">
        <f t="shared" si="4"/>
        <v>1</v>
      </c>
      <c r="P18" s="14" t="b">
        <f t="shared" si="5"/>
        <v>1</v>
      </c>
      <c r="Q18" s="14" t="str">
        <f t="shared" si="6"/>
        <v>Role Desired</v>
      </c>
      <c r="R18" s="14" t="str">
        <f t="shared" si="7"/>
        <v>Salary Low</v>
      </c>
      <c r="S18" s="14" t="str">
        <f t="shared" si="8"/>
        <v>No Data</v>
      </c>
    </row>
    <row r="19" spans="1:19" x14ac:dyDescent="0.3">
      <c r="A19" s="12" t="s">
        <v>43</v>
      </c>
      <c r="B19" s="13">
        <v>45017.004837962973</v>
      </c>
      <c r="C19" s="13" t="s">
        <v>142</v>
      </c>
      <c r="D19" s="13" t="s">
        <v>94</v>
      </c>
      <c r="E19" s="13" t="s">
        <v>143</v>
      </c>
      <c r="F19" s="13" t="s">
        <v>106</v>
      </c>
      <c r="G19" s="13" t="s">
        <v>77</v>
      </c>
      <c r="H19" s="13">
        <v>87500</v>
      </c>
      <c r="I19" s="13" t="b">
        <v>0</v>
      </c>
      <c r="J19" s="13" t="s">
        <v>144</v>
      </c>
      <c r="K19" s="14" t="str">
        <f t="shared" si="0"/>
        <v>No Desired Role</v>
      </c>
      <c r="L19" s="14" t="str">
        <f t="shared" si="1"/>
        <v>No Desired Role</v>
      </c>
      <c r="M19" s="14" t="str">
        <f t="shared" si="2"/>
        <v>No Desired Role</v>
      </c>
      <c r="N19" s="14" t="b">
        <f t="shared" si="3"/>
        <v>0</v>
      </c>
      <c r="O19" s="14" t="b">
        <f t="shared" si="4"/>
        <v>0</v>
      </c>
      <c r="P19" s="14" t="b">
        <f t="shared" si="5"/>
        <v>1</v>
      </c>
      <c r="Q19" s="14" t="str">
        <f t="shared" si="6"/>
        <v>No Role Desired</v>
      </c>
      <c r="R19" s="14" t="str">
        <f t="shared" si="7"/>
        <v>Salary &gt; 85K</v>
      </c>
      <c r="S19" s="14" t="str">
        <f t="shared" si="8"/>
        <v>Salary &gt; 85K</v>
      </c>
    </row>
    <row r="20" spans="1:19" x14ac:dyDescent="0.3">
      <c r="A20" s="12" t="s">
        <v>43</v>
      </c>
      <c r="B20" s="13">
        <v>45169.64203703704</v>
      </c>
      <c r="C20" s="13" t="s">
        <v>79</v>
      </c>
      <c r="D20" s="13" t="s">
        <v>94</v>
      </c>
      <c r="E20" s="13" t="s">
        <v>145</v>
      </c>
      <c r="F20" s="13" t="s">
        <v>113</v>
      </c>
      <c r="G20" s="13" t="s">
        <v>83</v>
      </c>
      <c r="H20" s="13"/>
      <c r="I20" s="13" t="b">
        <v>1</v>
      </c>
      <c r="J20" s="13" t="s">
        <v>146</v>
      </c>
      <c r="K20" s="14" t="str">
        <f t="shared" si="0"/>
        <v>No Desired Role</v>
      </c>
      <c r="L20" s="14" t="str">
        <f t="shared" si="1"/>
        <v>No Desired Role</v>
      </c>
      <c r="M20" s="14" t="str">
        <f t="shared" si="2"/>
        <v>No Desired Role</v>
      </c>
      <c r="N20" s="14" t="b">
        <f t="shared" si="3"/>
        <v>0</v>
      </c>
      <c r="O20" s="14" t="b">
        <f t="shared" si="4"/>
        <v>0</v>
      </c>
      <c r="P20" s="14" t="b">
        <f t="shared" si="5"/>
        <v>1</v>
      </c>
      <c r="Q20" s="14" t="str">
        <f t="shared" si="6"/>
        <v>No Role Desired</v>
      </c>
      <c r="R20" s="14" t="str">
        <f t="shared" si="7"/>
        <v>Salary Low</v>
      </c>
      <c r="S20" s="14" t="str">
        <f t="shared" si="8"/>
        <v>No Data</v>
      </c>
    </row>
    <row r="21" spans="1:19" x14ac:dyDescent="0.3">
      <c r="A21" s="12" t="s">
        <v>67</v>
      </c>
      <c r="B21" s="13">
        <v>45000.542685185188</v>
      </c>
      <c r="C21" s="13" t="s">
        <v>147</v>
      </c>
      <c r="D21" s="13" t="s">
        <v>74</v>
      </c>
      <c r="E21" s="13" t="s">
        <v>148</v>
      </c>
      <c r="F21" s="13" t="s">
        <v>149</v>
      </c>
      <c r="G21" s="13" t="s">
        <v>77</v>
      </c>
      <c r="H21" s="13">
        <v>90000</v>
      </c>
      <c r="I21" s="13" t="b">
        <v>0</v>
      </c>
      <c r="J21" s="13" t="s">
        <v>150</v>
      </c>
      <c r="K21" s="14" t="str">
        <f t="shared" si="0"/>
        <v>No Desired Role</v>
      </c>
      <c r="L21" s="14" t="str">
        <f t="shared" si="1"/>
        <v>Role Desired</v>
      </c>
      <c r="M21" s="14" t="str">
        <f t="shared" si="2"/>
        <v>Desied Role</v>
      </c>
      <c r="N21" s="14" t="b">
        <f t="shared" si="3"/>
        <v>0</v>
      </c>
      <c r="O21" s="14" t="b">
        <f t="shared" si="4"/>
        <v>1</v>
      </c>
      <c r="P21" s="14" t="b">
        <f t="shared" si="5"/>
        <v>1</v>
      </c>
      <c r="Q21" s="14" t="str">
        <f t="shared" si="6"/>
        <v>Role Desired</v>
      </c>
      <c r="R21" s="14" t="str">
        <f t="shared" si="7"/>
        <v>Salary &gt; 85K</v>
      </c>
      <c r="S21" s="14" t="str">
        <f t="shared" si="8"/>
        <v>Salary &gt; 85K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 1</vt:lpstr>
      <vt:lpstr>Exercise 2</vt:lpstr>
      <vt:lpstr>Exercise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Mahato</dc:creator>
  <cp:lastModifiedBy>Ankit Mahato</cp:lastModifiedBy>
  <dcterms:created xsi:type="dcterms:W3CDTF">2026-08-27T17:58:57Z</dcterms:created>
  <dcterms:modified xsi:type="dcterms:W3CDTF">2026-08-30T18:42:42Z</dcterms:modified>
</cp:coreProperties>
</file>